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nhà thuốc\docs\lab\"/>
    </mc:Choice>
  </mc:AlternateContent>
  <xr:revisionPtr revIDLastSave="0" documentId="13_ncr:1_{70EFCC69-BE0B-4E7E-8B7B-E8D33C8D021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ong_quan" sheetId="1" r:id="rId1"/>
    <sheet name="Lich_dang" sheetId="2" r:id="rId2"/>
    <sheet name="Quy_trinh_AI" sheetId="3" r:id="rId3"/>
    <sheet name="Prompt_mau" sheetId="4" r:id="rId4"/>
    <sheet name="Kenh" sheetId="5" r:id="rId5"/>
    <sheet name="Kiem_duyet" sheetId="6" r:id="rId6"/>
    <sheet name="Tong_hop" sheetId="7" r:id="rId7"/>
  </sheets>
  <definedNames>
    <definedName name="_xlnm._FilterDatabase" localSheetId="1" hidden="1">Lich_dang!$A$4:$AA$43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7" i="2" l="1"/>
  <c r="D6" i="2"/>
  <c r="D5" i="2"/>
  <c r="D43" i="2"/>
  <c r="D42" i="2"/>
  <c r="T42" i="2" s="1"/>
  <c r="D41" i="2"/>
  <c r="D40" i="2"/>
  <c r="D39" i="2"/>
  <c r="D38" i="2"/>
  <c r="D37" i="2"/>
  <c r="U37" i="2" s="1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E11" i="2" s="1"/>
  <c r="D10" i="2"/>
  <c r="D9" i="2"/>
  <c r="D8" i="2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W42" i="2"/>
  <c r="U42" i="2"/>
  <c r="E42" i="2"/>
  <c r="W41" i="2"/>
  <c r="U41" i="2"/>
  <c r="T41" i="2"/>
  <c r="E41" i="2"/>
  <c r="W40" i="2"/>
  <c r="U40" i="2"/>
  <c r="T40" i="2"/>
  <c r="E40" i="2"/>
  <c r="B26" i="7"/>
  <c r="B25" i="7"/>
  <c r="B24" i="7"/>
  <c r="B23" i="7"/>
  <c r="B22" i="7"/>
  <c r="C45" i="7"/>
  <c r="C44" i="7"/>
  <c r="C43" i="7"/>
  <c r="C42" i="7"/>
  <c r="C41" i="7"/>
  <c r="C40" i="7"/>
  <c r="E36" i="7"/>
  <c r="D36" i="7"/>
  <c r="C36" i="7"/>
  <c r="E35" i="7"/>
  <c r="D35" i="7"/>
  <c r="C35" i="7"/>
  <c r="E34" i="7"/>
  <c r="D34" i="7"/>
  <c r="C34" i="7"/>
  <c r="E33" i="7"/>
  <c r="D33" i="7"/>
  <c r="C33" i="7"/>
  <c r="E32" i="7"/>
  <c r="D32" i="7"/>
  <c r="C32" i="7"/>
  <c r="B27" i="7"/>
  <c r="B21" i="7"/>
  <c r="B20" i="7"/>
  <c r="B19" i="7"/>
  <c r="B18" i="7"/>
  <c r="B17" i="7"/>
  <c r="B16" i="7"/>
  <c r="B15" i="7"/>
  <c r="C9" i="7"/>
  <c r="C7" i="7"/>
  <c r="C6" i="7"/>
  <c r="J8" i="5"/>
  <c r="J7" i="5"/>
  <c r="J6" i="5"/>
  <c r="J5" i="5"/>
  <c r="W43" i="2"/>
  <c r="U43" i="2"/>
  <c r="T43" i="2"/>
  <c r="E43" i="2"/>
  <c r="C43" i="2"/>
  <c r="I43" i="2" s="1"/>
  <c r="W39" i="2"/>
  <c r="U39" i="2"/>
  <c r="T39" i="2"/>
  <c r="E39" i="2"/>
  <c r="C39" i="2"/>
  <c r="I39" i="2" s="1"/>
  <c r="W38" i="2"/>
  <c r="U38" i="2"/>
  <c r="T38" i="2"/>
  <c r="E38" i="2"/>
  <c r="C38" i="2"/>
  <c r="W37" i="2"/>
  <c r="T37" i="2"/>
  <c r="E37" i="2"/>
  <c r="C37" i="2"/>
  <c r="I37" i="2" s="1"/>
  <c r="W36" i="2"/>
  <c r="U36" i="2"/>
  <c r="T36" i="2"/>
  <c r="E36" i="2"/>
  <c r="C36" i="2"/>
  <c r="I36" i="2" s="1"/>
  <c r="W35" i="2"/>
  <c r="U35" i="2"/>
  <c r="T35" i="2"/>
  <c r="E35" i="2"/>
  <c r="C35" i="2"/>
  <c r="I35" i="2" s="1"/>
  <c r="W34" i="2"/>
  <c r="U34" i="2"/>
  <c r="T34" i="2"/>
  <c r="E34" i="2"/>
  <c r="C34" i="2"/>
  <c r="I34" i="2" s="1"/>
  <c r="W33" i="2"/>
  <c r="U33" i="2"/>
  <c r="T33" i="2"/>
  <c r="E33" i="2"/>
  <c r="C33" i="2"/>
  <c r="I33" i="2" s="1"/>
  <c r="W32" i="2"/>
  <c r="U32" i="2"/>
  <c r="T32" i="2"/>
  <c r="E32" i="2"/>
  <c r="C32" i="2"/>
  <c r="I32" i="2" s="1"/>
  <c r="W31" i="2"/>
  <c r="U31" i="2"/>
  <c r="T31" i="2"/>
  <c r="E31" i="2"/>
  <c r="C31" i="2"/>
  <c r="I31" i="2" s="1"/>
  <c r="W30" i="2"/>
  <c r="U30" i="2"/>
  <c r="T30" i="2"/>
  <c r="E30" i="2"/>
  <c r="C30" i="2"/>
  <c r="I30" i="2" s="1"/>
  <c r="W29" i="2"/>
  <c r="U29" i="2"/>
  <c r="T29" i="2"/>
  <c r="E29" i="2"/>
  <c r="W28" i="2"/>
  <c r="U28" i="2"/>
  <c r="T28" i="2"/>
  <c r="E28" i="2"/>
  <c r="W27" i="2"/>
  <c r="U27" i="2"/>
  <c r="T27" i="2"/>
  <c r="E27" i="2"/>
  <c r="W26" i="2"/>
  <c r="U26" i="2"/>
  <c r="T26" i="2"/>
  <c r="E26" i="2"/>
  <c r="W25" i="2"/>
  <c r="U25" i="2"/>
  <c r="T25" i="2"/>
  <c r="E25" i="2"/>
  <c r="W24" i="2"/>
  <c r="U24" i="2"/>
  <c r="T24" i="2"/>
  <c r="E24" i="2"/>
  <c r="W23" i="2"/>
  <c r="U23" i="2"/>
  <c r="T23" i="2"/>
  <c r="E23" i="2"/>
  <c r="W22" i="2"/>
  <c r="U22" i="2"/>
  <c r="T22" i="2"/>
  <c r="E22" i="2"/>
  <c r="W21" i="2"/>
  <c r="U21" i="2"/>
  <c r="T21" i="2"/>
  <c r="E21" i="2"/>
  <c r="W20" i="2"/>
  <c r="W19" i="2"/>
  <c r="U19" i="2"/>
  <c r="T19" i="2"/>
  <c r="E19" i="2"/>
  <c r="W18" i="2"/>
  <c r="U18" i="2"/>
  <c r="T18" i="2"/>
  <c r="E18" i="2"/>
  <c r="W17" i="2"/>
  <c r="U17" i="2"/>
  <c r="T17" i="2"/>
  <c r="E17" i="2"/>
  <c r="W16" i="2"/>
  <c r="U16" i="2"/>
  <c r="T16" i="2"/>
  <c r="E16" i="2"/>
  <c r="W15" i="2"/>
  <c r="U15" i="2"/>
  <c r="W14" i="2"/>
  <c r="U14" i="2"/>
  <c r="T14" i="2"/>
  <c r="E14" i="2"/>
  <c r="W13" i="2"/>
  <c r="W12" i="2"/>
  <c r="U12" i="2"/>
  <c r="T12" i="2"/>
  <c r="E12" i="2"/>
  <c r="W11" i="2"/>
  <c r="U11" i="2"/>
  <c r="T11" i="2"/>
  <c r="W10" i="2"/>
  <c r="U10" i="2"/>
  <c r="T10" i="2"/>
  <c r="E10" i="2"/>
  <c r="W9" i="2"/>
  <c r="U9" i="2"/>
  <c r="T9" i="2"/>
  <c r="E9" i="2"/>
  <c r="W8" i="2"/>
  <c r="U8" i="2"/>
  <c r="T8" i="2"/>
  <c r="E8" i="2"/>
  <c r="W7" i="2"/>
  <c r="W6" i="2"/>
  <c r="U6" i="2"/>
  <c r="T6" i="2"/>
  <c r="E6" i="2"/>
  <c r="W5" i="2"/>
  <c r="E22" i="1"/>
  <c r="E21" i="1"/>
  <c r="E20" i="1"/>
  <c r="E19" i="1"/>
  <c r="E18" i="1"/>
  <c r="T20" i="2" l="1"/>
  <c r="U20" i="2"/>
  <c r="E20" i="2"/>
  <c r="T15" i="2"/>
  <c r="E15" i="2"/>
  <c r="J9" i="5"/>
  <c r="T13" i="2"/>
  <c r="U13" i="2"/>
  <c r="E13" i="2"/>
  <c r="T7" i="2"/>
  <c r="E7" i="2"/>
  <c r="U7" i="2"/>
  <c r="T5" i="2"/>
  <c r="U5" i="2"/>
  <c r="E5" i="2"/>
  <c r="C29" i="2"/>
  <c r="I29" i="2" s="1"/>
  <c r="C28" i="2"/>
  <c r="I28" i="2" s="1"/>
  <c r="C27" i="2"/>
  <c r="I27" i="2" s="1"/>
  <c r="C18" i="2"/>
  <c r="I18" i="2" s="1"/>
  <c r="C42" i="2"/>
  <c r="I42" i="2" s="1"/>
  <c r="C26" i="2"/>
  <c r="I26" i="2" s="1"/>
  <c r="C25" i="2"/>
  <c r="I25" i="2" s="1"/>
  <c r="C24" i="2"/>
  <c r="I24" i="2" s="1"/>
  <c r="C23" i="2"/>
  <c r="I23" i="2" s="1"/>
  <c r="C17" i="2"/>
  <c r="I17" i="2" s="1"/>
  <c r="C15" i="2"/>
  <c r="I15" i="2" s="1"/>
  <c r="C41" i="2"/>
  <c r="I41" i="2" s="1"/>
  <c r="C22" i="2"/>
  <c r="I22" i="2" s="1"/>
  <c r="C21" i="2"/>
  <c r="I21" i="2" s="1"/>
  <c r="C20" i="2"/>
  <c r="I20" i="2" s="1"/>
  <c r="C19" i="2"/>
  <c r="I19" i="2" s="1"/>
  <c r="C16" i="2"/>
  <c r="I16" i="2" s="1"/>
  <c r="C40" i="2"/>
  <c r="I40" i="2" s="1"/>
  <c r="C14" i="2"/>
  <c r="I14" i="2" s="1"/>
  <c r="C12" i="2"/>
  <c r="I12" i="2" s="1"/>
  <c r="C6" i="2"/>
  <c r="C11" i="2"/>
  <c r="I11" i="2" s="1"/>
  <c r="C10" i="2"/>
  <c r="I10" i="2" s="1"/>
  <c r="C7" i="2"/>
  <c r="C5" i="2"/>
  <c r="I5" i="2" s="1"/>
  <c r="C13" i="2"/>
  <c r="I13" i="2" s="1"/>
  <c r="C9" i="2"/>
  <c r="I9" i="2" s="1"/>
  <c r="C8" i="2"/>
  <c r="C10" i="7"/>
  <c r="C8" i="7"/>
  <c r="I38" i="2"/>
  <c r="F21" i="1"/>
  <c r="F22" i="1"/>
  <c r="F18" i="1"/>
  <c r="E23" i="1"/>
  <c r="F20" i="1"/>
  <c r="F19" i="1"/>
  <c r="C11" i="7" l="1"/>
  <c r="I6" i="2"/>
  <c r="E18" i="7"/>
  <c r="F25" i="7"/>
  <c r="E25" i="7"/>
  <c r="F27" i="7"/>
  <c r="C21" i="7"/>
  <c r="I7" i="2"/>
  <c r="C27" i="7"/>
  <c r="F15" i="7"/>
  <c r="E15" i="7"/>
  <c r="C18" i="7"/>
  <c r="F16" i="7"/>
  <c r="C19" i="7"/>
  <c r="D25" i="7"/>
  <c r="C25" i="7"/>
  <c r="C22" i="7"/>
  <c r="E27" i="7"/>
  <c r="F21" i="7"/>
  <c r="D20" i="7"/>
  <c r="F19" i="7"/>
  <c r="C16" i="7"/>
  <c r="D21" i="7"/>
  <c r="E20" i="7"/>
  <c r="E26" i="7"/>
  <c r="F18" i="7"/>
  <c r="D17" i="7"/>
  <c r="D16" i="7"/>
  <c r="C15" i="7"/>
  <c r="E19" i="7"/>
  <c r="D26" i="7"/>
  <c r="C26" i="7"/>
  <c r="F26" i="7"/>
  <c r="F24" i="7"/>
  <c r="E24" i="7"/>
  <c r="D24" i="7"/>
  <c r="C24" i="7"/>
  <c r="F23" i="7"/>
  <c r="E23" i="7"/>
  <c r="D23" i="7"/>
  <c r="C23" i="7"/>
  <c r="F22" i="7"/>
  <c r="C17" i="7"/>
  <c r="E16" i="7"/>
  <c r="E17" i="7"/>
  <c r="E21" i="7"/>
  <c r="C20" i="7"/>
  <c r="D19" i="7"/>
  <c r="F17" i="7"/>
  <c r="F20" i="7"/>
  <c r="D15" i="7"/>
  <c r="I8" i="2"/>
  <c r="E22" i="7"/>
  <c r="D22" i="7"/>
  <c r="D27" i="7"/>
  <c r="D18" i="7"/>
  <c r="F23" i="1"/>
  <c r="G25" i="7" l="1"/>
  <c r="G18" i="7"/>
  <c r="G15" i="7"/>
  <c r="G27" i="7"/>
  <c r="G26" i="7"/>
  <c r="G17" i="7"/>
  <c r="G21" i="7"/>
  <c r="G19" i="7"/>
  <c r="G24" i="7"/>
  <c r="F28" i="7"/>
  <c r="D28" i="7"/>
  <c r="G22" i="7"/>
  <c r="G23" i="7"/>
  <c r="G20" i="7"/>
  <c r="C28" i="7"/>
  <c r="G16" i="7"/>
  <c r="E28" i="7"/>
  <c r="G28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V4" authorId="0" shapeId="0" xr:uid="{00000000-0006-0000-0100-000001000000}">
      <text>
        <r>
          <rPr>
            <sz val="10"/>
            <rFont val="Arial"/>
            <family val="2"/>
          </rPr>
          <t>Nhập ngày người duyệt bấm duyệt (dd/mm/yyyy). Cột Đúng hạn? sẽ so với Hạn duyệt.</t>
        </r>
      </text>
    </comment>
    <comment ref="X4" authorId="0" shapeId="0" xr:uid="{00000000-0006-0000-0100-000002000000}">
      <text>
        <r>
          <rPr>
            <sz val="10"/>
            <rFont val="Arial"/>
            <family val="2"/>
          </rPr>
          <t>Chọn Đạt khi bài qua đủ các mục bắt buộc ở sheet Kiem_duyet.</t>
        </r>
      </text>
    </comment>
  </commentList>
</comments>
</file>

<file path=xl/sharedStrings.xml><?xml version="1.0" encoding="utf-8"?>
<sst xmlns="http://schemas.openxmlformats.org/spreadsheetml/2006/main" count="1084" uniqueCount="652">
  <si>
    <t>Thông tin chung</t>
  </si>
  <si>
    <t>Sản phẩm</t>
  </si>
  <si>
    <t>Thời gian</t>
  </si>
  <si>
    <t>Hình thức</t>
  </si>
  <si>
    <t>Lập kế hoạch và sản xuất nội dung MÔ PHỎNG – KHÔNG đăng thật lên các kênh. Bài “Đã đăng (mô phỏng)” = bản cuối đã duyệt + ảnh xem trước (preview), lưu vào thư mục minh chứng.</t>
  </si>
  <si>
    <t>Kênh</t>
  </si>
  <si>
    <t>Facebook, TikTok/Reels, LinkedIn, YouTube (chi tiết ở sheet Kenh)</t>
  </si>
  <si>
    <t>Mục tiêu</t>
  </si>
  <si>
    <t>Đối tượng</t>
  </si>
  <si>
    <t>Thông điệp chính</t>
  </si>
  <si>
    <t>Nguyên tắc dùng AI</t>
  </si>
  <si>
    <t>AI làm bản nháp (chữ, hình, phụ đề, giọng đọc); con người cung cấp dữ kiện, kiểm tra, sửa và chịu trách nhiệm. Không bài nào đi thẳng từ AI ra kênh (quy trình ở sheet Quy_trinh_AI).</t>
  </si>
  <si>
    <t>Vai trò chung</t>
  </si>
  <si>
    <t>Chi phí</t>
  </si>
  <si>
    <t>0 đ cho quảng cáo (không đăng thật, không chạy ads). Công cụ AI ưu tiên gói miễn phí/tài khoản sẵn có; nếu cần trả phí thì báo PM và lấy từ khoản công cụ của dự án.</t>
  </si>
  <si>
    <t>Trụ cột nội dung</t>
  </si>
  <si>
    <t>Trụ cột</t>
  </si>
  <si>
    <t>Mô tả</t>
  </si>
  <si>
    <t>Số bài</t>
  </si>
  <si>
    <t>Tỷ trọng</t>
  </si>
  <si>
    <t>Hậu trường dự án</t>
  </si>
  <si>
    <t>Tính năng sản phẩm</t>
  </si>
  <si>
    <t>Kiến thức nghiệp vụ</t>
  </si>
  <si>
    <t>Kỹ thuật &amp; quy trình</t>
  </si>
  <si>
    <t>Sự kiện &amp; demo</t>
  </si>
  <si>
    <t>Tổng</t>
  </si>
  <si>
    <t>Tuần</t>
  </si>
  <si>
    <t>Từ ngày</t>
  </si>
  <si>
    <t>Đến ngày</t>
  </si>
  <si>
    <t>Trọng tâm truyền thông</t>
  </si>
  <si>
    <t>Cách dùng các sheet</t>
  </si>
  <si>
    <t>Lich_dang</t>
  </si>
  <si>
    <t>Quy_trinh_AI</t>
  </si>
  <si>
    <t>7 bước từ brief → AI nháp → người sửa → duyệt → lưu minh chứng; phân vai AI/người; công cụ AI dùng cho việc gì.</t>
  </si>
  <si>
    <t>Prompt_mau</t>
  </si>
  <si>
    <t>Mẫu brief và 10 prompt mẫu (P01–P10) được tham chiếu trong cột Prompt của Lich_dang.</t>
  </si>
  <si>
    <t>Kenh</t>
  </si>
  <si>
    <t>Mục đích, định dạng, tần suất, khung giờ của từng kênh; số bài tự đếm.</t>
  </si>
  <si>
    <t>Kiem_duyet</t>
  </si>
  <si>
    <t>Checklist bắt buộc trước khi chuyển trạng thái “Đã duyệt”.</t>
  </si>
  <si>
    <t>Tong_hop</t>
  </si>
  <si>
    <t>Số bài theo tuần × kênh (kèm biểu đồ), theo người, theo trạng thái; KPI sản xuất nội dung.</t>
  </si>
  <si>
    <t>Chú giải</t>
  </si>
  <si>
    <t>Nền xanh lá</t>
  </si>
  <si>
    <t>Ô thành viên cập nhật: Ngày duyệt thực tế, Qua checklist?, Trạng thái, Link, Ghi chú (sheet Lich_dang).</t>
  </si>
  <si>
    <t>Chữ xanh dương</t>
  </si>
  <si>
    <t>Số nhập tay (mục tiêu KPI ở sheet Tong_hop); sửa được.</t>
  </si>
  <si>
    <t>Nền xám nhạt</t>
  </si>
  <si>
    <t>Các tuần chẵn trong Lich_dang (để dễ nhìn theo tuần).</t>
  </si>
  <si>
    <t>Cột tự tính</t>
  </si>
  <si>
    <t>Giả định &amp; lưu ý</t>
  </si>
  <si>
    <t>3. Giờ đăng là khung giờ nhóm chọn, chưa dựa trên số liệu tương tác thật. Nếu sau này đăng thật, xem thống kê của từng kênh để chỉnh.</t>
  </si>
  <si>
    <t>STT</t>
  </si>
  <si>
    <t>Mã bài</t>
  </si>
  <si>
    <t>Ngày đăng</t>
  </si>
  <si>
    <t>Thứ</t>
  </si>
  <si>
    <t>Giờ đăng</t>
  </si>
  <si>
    <t>Tiêu đề / chủ đề bài</t>
  </si>
  <si>
    <t>Định dạng</t>
  </si>
  <si>
    <t>Nội dung chính &amp; đầu vào cần chuẩn bị</t>
  </si>
  <si>
    <t>AI làm gì</t>
  </si>
  <si>
    <t>Công cụ AI</t>
  </si>
  <si>
    <t>Prompt mẫu</t>
  </si>
  <si>
    <t>Gắn với WBS / mốc</t>
  </si>
  <si>
    <t>Người chuẩn bị (đầu vào + chạy AI)</t>
  </si>
  <si>
    <t>Người kiểm tra nội dung</t>
  </si>
  <si>
    <t>Người duyệt</t>
  </si>
  <si>
    <t>Ngày làm nội dung (D-2)</t>
  </si>
  <si>
    <t>Hạn duyệt (D-1)</t>
  </si>
  <si>
    <t>Ngày duyệt thực tế</t>
  </si>
  <si>
    <t>Đúng hạn?</t>
  </si>
  <si>
    <t>Qua checklist?</t>
  </si>
  <si>
    <t>Trạng thái</t>
  </si>
  <si>
    <t>Link bản nháp / minh chứng</t>
  </si>
  <si>
    <t>Ghi chú</t>
  </si>
  <si>
    <t>FB01</t>
  </si>
  <si>
    <t>20:00</t>
  </si>
  <si>
    <t>Facebook</t>
  </si>
  <si>
    <t>Ảnh bìa + caption</t>
  </si>
  <si>
    <t>Viết 3 phương án caption từ biên bản kick-off; tạo ảnh bìa có tên dự án</t>
  </si>
  <si>
    <t>Claude/ChatGPT + Canva (AI)</t>
  </si>
  <si>
    <t>P01, P06</t>
  </si>
  <si>
    <t>Chưa làm</t>
  </si>
  <si>
    <t>LI01</t>
  </si>
  <si>
    <t>08:00</t>
  </si>
  <si>
    <t>LinkedIn</t>
  </si>
  <si>
    <t>Bài viết + sơ đồ vai trò</t>
  </si>
  <si>
    <t>Viết nháp bài 150–250 từ; vẽ sơ đồ 5 vai trò; gợi ý hashtag</t>
  </si>
  <si>
    <t>P03, P07</t>
  </si>
  <si>
    <t>TT01</t>
  </si>
  <si>
    <t>19:00</t>
  </si>
  <si>
    <t>TikTok/Reels</t>
  </si>
  <si>
    <t>Video dọc 9:16, 30 giây</t>
  </si>
  <si>
    <t>6–8 clip ngắn quay buổi kick-off/họp nhóm</t>
  </si>
  <si>
    <t>Viết kịch bản 30 giây (hook 3 giây đầu, chữ trên màn hình); tạo phụ đề tự động</t>
  </si>
  <si>
    <t>Claude/ChatGPT + CapCut</t>
  </si>
  <si>
    <t>P02, P08</t>
  </si>
  <si>
    <t>Xin phép thành viên trước khi dùng hình/giọng nói</t>
  </si>
  <si>
    <t>FB02</t>
  </si>
  <si>
    <t>Carousel 5 slide</t>
  </si>
  <si>
    <t>P05, P10</t>
  </si>
  <si>
    <t>FB03</t>
  </si>
  <si>
    <t>TT02</t>
  </si>
  <si>
    <t>LI02</t>
  </si>
  <si>
    <t>Claude/ChatGPT</t>
  </si>
  <si>
    <t>YT01</t>
  </si>
  <si>
    <t>19:30</t>
  </si>
  <si>
    <t>YouTube</t>
  </si>
  <si>
    <t>P04, P07, P08</t>
  </si>
  <si>
    <t>FB04</t>
  </si>
  <si>
    <t>P09</t>
  </si>
  <si>
    <t>LI03</t>
  </si>
  <si>
    <t>FB05</t>
  </si>
  <si>
    <t>P05</t>
  </si>
  <si>
    <t>TT03</t>
  </si>
  <si>
    <t>FB06</t>
  </si>
  <si>
    <t>FB07</t>
  </si>
  <si>
    <t>LI04</t>
  </si>
  <si>
    <t>Bài viết</t>
  </si>
  <si>
    <t>TT04</t>
  </si>
  <si>
    <t>YT02</t>
  </si>
  <si>
    <t>Video ngang 16:9, 5–7 phút</t>
  </si>
  <si>
    <t>FB08</t>
  </si>
  <si>
    <t>FB09</t>
  </si>
  <si>
    <t>LI05</t>
  </si>
  <si>
    <t>P03</t>
  </si>
  <si>
    <t>TT05</t>
  </si>
  <si>
    <t>FB10</t>
  </si>
  <si>
    <t>FB11</t>
  </si>
  <si>
    <t>TT06</t>
  </si>
  <si>
    <t>LI06</t>
  </si>
  <si>
    <t>FB12</t>
  </si>
  <si>
    <t>LI07</t>
  </si>
  <si>
    <t>FB13</t>
  </si>
  <si>
    <t>TT07</t>
  </si>
  <si>
    <t>FB14</t>
  </si>
  <si>
    <t>TT08</t>
  </si>
  <si>
    <t>FB15</t>
  </si>
  <si>
    <t>Hướng dẫn sử dụng nhanh theo vai trò</t>
  </si>
  <si>
    <t>YT03</t>
  </si>
  <si>
    <t>Video ngang 16:9, 8–10 phút</t>
  </si>
  <si>
    <t>FB16</t>
  </si>
  <si>
    <t>Album ảnh + caption</t>
  </si>
  <si>
    <t>P01</t>
  </si>
  <si>
    <t>LI08</t>
  </si>
  <si>
    <t>P03, P09</t>
  </si>
  <si>
    <t>TT09</t>
  </si>
  <si>
    <t>QUY TRÌNH: AI LÀM GÌ, LÀM THẾ NÀO, KHI NÀO</t>
  </si>
  <si>
    <t>D = ngày đăng trong Lich_dang. Mọi bài đi qua đủ 7 bước; AI chỉ tạo bản nháp, con người quyết định nội dung cuối.</t>
  </si>
  <si>
    <t>A. Các bước sản xuất một bài</t>
  </si>
  <si>
    <t>Bước</t>
  </si>
  <si>
    <t>Việc</t>
  </si>
  <si>
    <t>Ai làm</t>
  </si>
  <si>
    <t>Công cụ</t>
  </si>
  <si>
    <t>Đầu vào</t>
  </si>
  <si>
    <t>Đầu ra</t>
  </si>
  <si>
    <t>Thời điểm</t>
  </si>
  <si>
    <t>Xong khi</t>
  </si>
  <si>
    <t>Viết brief</t>
  </si>
  <si>
    <t>Người chuẩn bị</t>
  </si>
  <si>
    <t>Mẫu brief (sheet Prompt_mau)</t>
  </si>
  <si>
    <t>Kết quả task WBS liên quan, ảnh/clip thật</t>
  </si>
  <si>
    <t>Brief 6 dòng</t>
  </si>
  <si>
    <t>D-2, buổi sáng</t>
  </si>
  <si>
    <t>Brief có dữ kiện đúng và danh sách tính năng ĐÃ có</t>
  </si>
  <si>
    <t>AI viết nháp chữ: caption, kịch bản, bài LinkedIn</t>
  </si>
  <si>
    <t>AI (người chuẩn bị chạy)</t>
  </si>
  <si>
    <t>Brief + prompt mẫu P01–P05, P07, P09</t>
  </si>
  <si>
    <t>2–3 phương án nháp</t>
  </si>
  <si>
    <t>D-2</t>
  </si>
  <si>
    <t>Chọn được 1 phương án để sửa</t>
  </si>
  <si>
    <t>AI tạo hình/video thô: ảnh bìa, carousel, poster, phụ đề, giọng đọc</t>
  </si>
  <si>
    <t>Canva (AI), CapCut</t>
  </si>
  <si>
    <t>Bản nháp chữ, ảnh chụp màn hình, clip quay màn hình (OBS)</t>
  </si>
  <si>
    <t>Ảnh/video thô</t>
  </si>
  <si>
    <t>Có file thô đúng tỷ lệ kênh (sheet Kenh)</t>
  </si>
  <si>
    <t>AI tự soát + người sửa</t>
  </si>
  <si>
    <t>AI rồi người chuẩn bị</t>
  </si>
  <si>
    <t>Claude/ChatGPT (P10)</t>
  </si>
  <si>
    <t>Bản nháp chữ + hình</t>
  </si>
  <si>
    <t>Bản đã sửa</t>
  </si>
  <si>
    <t>D-2, cuối ngày</t>
  </si>
  <si>
    <t>Đã xử lý hết các câu P10 đánh dấu cần kiểm chứng</t>
  </si>
  <si>
    <t>Kiểm tra nội dung theo checklist</t>
  </si>
  <si>
    <t>Người kiểm tra</t>
  </si>
  <si>
    <t>Sheet Kiem_duyet; mở sản phẩm thật để đối chiếu</t>
  </si>
  <si>
    <t>Bản đạt checklist</t>
  </si>
  <si>
    <t>D-1, buổi sáng</t>
  </si>
  <si>
    <t>Cột Qua checklist? = Đạt</t>
  </si>
  <si>
    <t>Duyệt cuối</t>
  </si>
  <si>
    <t>—</t>
  </si>
  <si>
    <t>Bản cuối</t>
  </si>
  <si>
    <t>D-1 (hạn duyệt)</t>
  </si>
  <si>
    <t>Trạng thái = Đã duyệt; ghi Ngày duyệt thực tế</t>
  </si>
  <si>
    <t>“Đăng” mô phỏng và lưu minh chứng</t>
  </si>
  <si>
    <t>Thư mục minh chứng của nhóm</t>
  </si>
  <si>
    <t>File cuối + ảnh xem trước (preview) theo giao diện kênh</t>
  </si>
  <si>
    <t>D, giờ đăng</t>
  </si>
  <si>
    <t>Trạng thái = Đã đăng (mô phỏng); có link ở cột Link. KHÔNG bấm đăng thật</t>
  </si>
  <si>
    <t>B. Phân vai: AI làm gì – con người làm gì</t>
  </si>
  <si>
    <t>AI làm (bản nháp)</t>
  </si>
  <si>
    <t>Con người làm (AI không làm)</t>
  </si>
  <si>
    <t>Viết caption, kịch bản video, bài LinkedIn, thư mời từ brief/biên bản</t>
  </si>
  <si>
    <t>Cung cấp dữ kiện thật, ảnh chụp và clip quay màn hình</t>
  </si>
  <si>
    <t>Quyết định thông điệp và chọn phương án</t>
  </si>
  <si>
    <t>Đề xuất tiêu đề, hashtag, mô tả và chapters cho YouTube</t>
  </si>
  <si>
    <t>Kiểm tra tính năng nhắc tới đã có thật trong bản build</t>
  </si>
  <si>
    <t>Dàn trang carousel, poster, infographic, ảnh bìa, mockup</t>
  </si>
  <si>
    <t>Che dữ liệu nhạy cảm, secret, URL quản trị trong ảnh/clip</t>
  </si>
  <si>
    <t>Tạo phụ đề tự động và giọng đọc từ lời thoại đã duyệt</t>
  </si>
  <si>
    <t>Sửa phụ đề, nghe lại giọng đọc, chỉnh thuật ngữ</t>
  </si>
  <si>
    <t>Tự soát bản nháp: đánh dấu câu cần kiểm chứng (P10)</t>
  </si>
  <si>
    <t>Duyệt cuối và chịu trách nhiệm nội dung</t>
  </si>
  <si>
    <t>C. Công cụ</t>
  </si>
  <si>
    <t>Dùng để</t>
  </si>
  <si>
    <t>Ai dùng nhiều</t>
  </si>
  <si>
    <t>Lưu ý</t>
  </si>
  <si>
    <t>Claude / ChatGPT</t>
  </si>
  <si>
    <t>Viết nháp, tóm tắt, kịch bản, tiêu đề/hashtag, tự soát (P10)</t>
  </si>
  <si>
    <t>Cả 4 kênh</t>
  </si>
  <si>
    <t>Cả nhóm</t>
  </si>
  <si>
    <t>Không dán mật khẩu, chuỗi kết nối, secret, dữ liệu thật vào prompt</t>
  </si>
  <si>
    <t>Canva (tính năng AI)</t>
  </si>
  <si>
    <t>Ảnh bìa, carousel, poster, infographic, mockup, làm mờ ảnh</t>
  </si>
  <si>
    <t>Facebook, LinkedIn, YouTube (thumbnail)</t>
  </si>
  <si>
    <t>BA, BE, QA</t>
  </si>
  <si>
    <t>CapCut</t>
  </si>
  <si>
    <t>Dựng video, phụ đề tự động, giọng đọc AI</t>
  </si>
  <si>
    <t>TikTok/Reels, YouTube</t>
  </si>
  <si>
    <t>FE, QA</t>
  </si>
  <si>
    <t>Chỉ dùng nhạc trong thư viện được phép của công cụ/nền tảng</t>
  </si>
  <si>
    <t>OBS Studio (không phải AI)</t>
  </si>
  <si>
    <t>Quay màn hình demo</t>
  </si>
  <si>
    <t>FE</t>
  </si>
  <si>
    <t>Đăng nhập bằng tài khoản demo, dữ liệu giả</t>
  </si>
  <si>
    <t>Chi phí: ưu tiên gói miễn phí hoặc tài khoản sẵn có; nhóm tự kiểm tra giới hạn gói hiện tại của từng công cụ. Cần trả phí → báo PM trước.</t>
  </si>
  <si>
    <t>MẪU BRIEF VÀ PROMPT MẪU</t>
  </si>
  <si>
    <t>Thay phần trong [ngoặc vuông] bằng nội dung thật. Luôn dán brief kèm prompt; chạy P10 trước khi gửi người kiểm tra.</t>
  </si>
  <si>
    <t>Mẫu brief (người chuẩn bị điền trước khi dùng AI)</t>
  </si>
  <si>
    <t>Mục</t>
  </si>
  <si>
    <t>Điền gì</t>
  </si>
  <si>
    <t>Mục tiêu bài</t>
  </si>
  <si>
    <t>Người xem cần hiểu/làm gì sau khi xem</t>
  </si>
  <si>
    <t>Thông điệp (1 câu)</t>
  </si>
  <si>
    <t>Một câu duy nhất</t>
  </si>
  <si>
    <t>Dữ kiện đúng</t>
  </si>
  <si>
    <t>Gạch đầu dòng, lấy từ task WBS</t>
  </si>
  <si>
    <t>Tính năng ĐÃ có</t>
  </si>
  <si>
    <t>Chỉ liệt kê cái đã chạy được</t>
  </si>
  <si>
    <t>Ảnh/clip có sẵn</t>
  </si>
  <si>
    <t>Tên file hoặc link</t>
  </si>
  <si>
    <t>Cần tránh</t>
  </si>
  <si>
    <t>Điều không được nói/hiện</t>
  </si>
  <si>
    <t>Mã</t>
  </si>
  <si>
    <t>Dùng cho</t>
  </si>
  <si>
    <t>Dán kèm</t>
  </si>
  <si>
    <t>Kiểm tra sau khi AI trả kết quả</t>
  </si>
  <si>
    <t>Caption Facebook</t>
  </si>
  <si>
    <t>Brief; biên bản liên quan</t>
  </si>
  <si>
    <t>Có câu nào nói tính năng chưa làm? Có số liệu không có trong brief?</t>
  </si>
  <si>
    <t>P02</t>
  </si>
  <si>
    <t>Kịch bản TikTok/Reels 20–45 giây</t>
  </si>
  <si>
    <t>Viết kịch bản video dọc [30] giây cho TikTok/Reels về: [chủ đề]. Khán giả: sinh viên và người đi làm không chuyên CNTT. Trình bày dạng bảng: Giây | Cảnh quay | Lời thoại | Chữ trên màn hình. 3 giây đầu là câu hỏi hoặc tình huống gây tò mò. Chỉ dùng cảnh quay nhóm có: [danh sách clip]. Chỉ nhắc các tính năng: [tính năng đã xong].</t>
  </si>
  <si>
    <t>Brief; danh sách clip</t>
  </si>
  <si>
    <t>Cảnh nào không quay được? Thời lượng cộng lại có đúng không?</t>
  </si>
  <si>
    <t>Bài LinkedIn</t>
  </si>
  <si>
    <t>Ghi chú kỹ thuật/biên bản</t>
  </si>
  <si>
    <t>Bài học có đúng là của nhóm không? Thuật ngữ đúng chưa?</t>
  </si>
  <si>
    <t>P04</t>
  </si>
  <si>
    <t>Kịch bản video YouTube (giới thiệu/demo)</t>
  </si>
  <si>
    <t>Viết kịch bản video demo [5–7] phút cho sản phẩm [tên]. Luồng demo theo đúng thứ tự: [bước 1 → bước n]. Mỗi đoạn ghi: thời lượng, thao tác trên màn hình, lời dẫn. Có mở đầu 20 giây (nêu vấn đề) và kết 20 giây (tóm tắt + kêu gọi). Sau đó đề xuất 3 tiêu đề (≤70 ký tự), mô tả 100 từ và danh sách mốc thời gian (chapters).</t>
  </si>
  <si>
    <t>Luồng có khớp bản build? Tổng thời lượng có vừa không?</t>
  </si>
  <si>
    <t>Carousel 4–8 slide</t>
  </si>
  <si>
    <t>Claude/ChatGPT → Canva (AI)</t>
  </si>
  <si>
    <t>Chuyển nội dung sau thành carousel [5] slide cho Facebook. Mỗi slide: tiêu đề ≤8 từ, nội dung ≤25 từ, gợi ý hình minh hoạ (ảnh chụp màn hình nào hoặc biểu tượng). Slide 1 là câu hỏi/tiêu đề gây chú ý; slide cuối là tóm tắt + lời kêu gọi.
Nội dung: [dán]</t>
  </si>
  <si>
    <t>Nội dung gốc; ảnh chụp màn hình</t>
  </si>
  <si>
    <t>Chữ trên slide có bị tràn? Ảnh có lộ dữ liệu không?</t>
  </si>
  <si>
    <t>P06</t>
  </si>
  <si>
    <t>Ảnh bìa / poster / infographic</t>
  </si>
  <si>
    <t>Canva (AI)</t>
  </si>
  <si>
    <t>Tiêu đề; ảnh sản phẩm (nếu có)</t>
  </si>
  <si>
    <t>Có logo/thương hiệu thật lọt vào? Chữ tiếng Việt có lỗi dấu?</t>
  </si>
  <si>
    <t>P07</t>
  </si>
  <si>
    <t>Tiêu đề &amp; hashtag</t>
  </si>
  <si>
    <t>Đề xuất 5 tiêu đề (≤60 ký tự) và 8 hashtag (tiếng Việt và tiếng Anh) cho [kênh] về nội dung: [tóm tắt]. Đánh dấu 2 tiêu đề rõ nghĩa nhất và giải thích ngắn vì sao.</t>
  </si>
  <si>
    <t>Tóm tắt bài</t>
  </si>
  <si>
    <t>Tiêu đề có gây hiểu nhầm hoặc giật tít quá không?</t>
  </si>
  <si>
    <t>P08</t>
  </si>
  <si>
    <t>Phụ đề &amp; giọng đọc</t>
  </si>
  <si>
    <t>Lời thoại đã duyệt; clip</t>
  </si>
  <si>
    <t>Phụ đề có lệch thời gian/sai chính tả? Giọng đọc phát âm thuật ngữ đúng?</t>
  </si>
  <si>
    <t>Có nội dung nội bộ không nên công khai?</t>
  </si>
  <si>
    <t>P10</t>
  </si>
  <si>
    <t>AI tự soát bản nháp (chạy cho mọi bài)</t>
  </si>
  <si>
    <t>Bản nháp</t>
  </si>
  <si>
    <t>Người chuẩn bị xử lý hết từng mục AI liệt kê</t>
  </si>
  <si>
    <t>KẾ HOẠCH THEO KÊNH</t>
  </si>
  <si>
    <t>Khung giờ là lựa chọn của nhóm, chưa dựa trên số liệu tương tác. Cột Số bài tự đếm từ Lich_dang.</t>
  </si>
  <si>
    <t>Mục đích</t>
  </si>
  <si>
    <t>Đối tượng chính</t>
  </si>
  <si>
    <t>Định dạng chính</t>
  </si>
  <si>
    <t>Tần suất</t>
  </si>
  <si>
    <t>Khung giờ dự kiến</t>
  </si>
  <si>
    <t>Độ dài / tỷ lệ</t>
  </si>
  <si>
    <t>Giọng văn</t>
  </si>
  <si>
    <t>AI hỗ trợ chính</t>
  </si>
  <si>
    <t>Ảnh, carousel, poster, infographic, album</t>
  </si>
  <si>
    <t>Caption 80–150 từ; ảnh 1:1 hoặc 4:5</t>
  </si>
  <si>
    <t>Thân thiện, dễ hiểu</t>
  </si>
  <si>
    <t>Caption, carousel, poster, infographic</t>
  </si>
  <si>
    <t>Thu hút chú ý, hậu trường, demo ngắn</t>
  </si>
  <si>
    <t>Sinh viên, người trẻ</t>
  </si>
  <si>
    <t>Video dọc 9:16</t>
  </si>
  <si>
    <t>20–45 giây</t>
  </si>
  <si>
    <t>Nhanh, vui, có hook 3 giây đầu</t>
  </si>
  <si>
    <t>Kịch bản, phụ đề, giọng đọc</t>
  </si>
  <si>
    <t>Chia sẻ chuyên môn, làm portfolio cá nhân</t>
  </si>
  <si>
    <t>Nhà tuyển dụng, người làm ngành</t>
  </si>
  <si>
    <t>Bài viết + ảnh/sơ đồ</t>
  </si>
  <si>
    <t>150–250 từ</t>
  </si>
  <si>
    <t>Chuyên nghiệp, có bài học cụ thể</t>
  </si>
  <si>
    <t>Nháp bài, sơ đồ</t>
  </si>
  <si>
    <t>Video giới thiệu và demo dài; lưu minh chứng</t>
  </si>
  <si>
    <t>Giảng viên, hội đồng, nhà tuyển dụng</t>
  </si>
  <si>
    <t>Video ngang 16:9</t>
  </si>
  <si>
    <t>3–10 phút</t>
  </si>
  <si>
    <t>Rõ ràng, theo luồng thao tác</t>
  </si>
  <si>
    <t>Kịch bản, phụ đề, tiêu đề/mô tả/chapters</t>
  </si>
  <si>
    <t>CHECKLIST KIỂM DUYỆT NỘI DUNG CÓ AI</t>
  </si>
  <si>
    <t>Người kiểm tra chạy checklist trước hạn duyệt (D-1). Mọi mục “Bắt buộc” phải đạt thì mới chọn Đạt ở cột Qua checklist? trong Lich_dang.</t>
  </si>
  <si>
    <t>Hạng mục kiểm tra</t>
  </si>
  <si>
    <t>Cách kiểm</t>
  </si>
  <si>
    <t>Ai kiểm</t>
  </si>
  <si>
    <t>Mức</t>
  </si>
  <si>
    <t>Chỉ nhắc tính năng đã có trong bản build hiện tại</t>
  </si>
  <si>
    <t>Mở sản phẩm hoặc hỏi người phụ trách task WBS</t>
  </si>
  <si>
    <t>Bắt buộc</t>
  </si>
  <si>
    <t>Không có số liệu, trích dẫn, thống kê do AI tự thêm; số liệu nào cũng có nguồn</t>
  </si>
  <si>
    <t>Chạy P10, đối chiếu từng câu với brief</t>
  </si>
  <si>
    <t>Xem từng khung hình, phóng to bảng dữ liệu</t>
  </si>
  <si>
    <t>Soi thanh địa chỉ, terminal, tab trình duyệt trong ảnh/clip</t>
  </si>
  <si>
    <t>Xem ảnh bìa, poster, mockup</t>
  </si>
  <si>
    <t>Ghi rõ đây là đồ án sinh viên, không phải sản phẩm thương mại</t>
  </si>
  <si>
    <t>Đọc caption/mô tả</t>
  </si>
  <si>
    <t>Ghi “Nội dung có sự hỗ trợ của AI” ở cuối bài/mô tả; nếu đăng thật thì bật nhãn nội dung AI khi nền tảng yêu cầu</t>
  </si>
  <si>
    <t>Hình ảnh, nhạc, phông chữ được phép dùng (thư viện của công cụ/nền tảng)</t>
  </si>
  <si>
    <t>Kiểm tra nguồn từng thành phần</t>
  </si>
  <si>
    <t>Có sự đồng ý của thành viên xuất hiện trong ảnh/video</t>
  </si>
  <si>
    <t>Hỏi trực tiếp trong nhóm</t>
  </si>
  <si>
    <t>Đọc to một lượt; xem phụ đề</t>
  </si>
  <si>
    <t>Nên có</t>
  </si>
  <si>
    <t>Đúng định dạng kênh: tỷ lệ, độ dài, thời lượng (sheet Kenh)</t>
  </si>
  <si>
    <t>So với sheet Kenh</t>
  </si>
  <si>
    <t>Lưu file cuối + ảnh xem trước vào thư mục minh chứng, ghi link vào Lich_dang</t>
  </si>
  <si>
    <t>Mở link thử</t>
  </si>
  <si>
    <t>TỔNG HỢP &amp; KPI SẢN XUẤT NỘI DUNG</t>
  </si>
  <si>
    <t>Tất cả số liệu tự tính từ Lich_dang. Mục tiêu (chữ xanh dương) là số nhập tay, nhóm có thể sửa.</t>
  </si>
  <si>
    <t>A. KPI</t>
  </si>
  <si>
    <t>Chỉ số</t>
  </si>
  <si>
    <t>Thực tế</t>
  </si>
  <si>
    <t>Cách tính</t>
  </si>
  <si>
    <t>Tổng số bài trong kế hoạch</t>
  </si>
  <si>
    <t>Đếm Mã bài trong Lich_dang</t>
  </si>
  <si>
    <t>Số bài đã duyệt hoặc “đăng” mô phỏng</t>
  </si>
  <si>
    <t>Trạng thái = Đã duyệt hoặc Đã đăng (mô phỏng)</t>
  </si>
  <si>
    <t>Tỷ lệ hoàn thành</t>
  </si>
  <si>
    <t>Bài đã duyệt / tổng bài</t>
  </si>
  <si>
    <t>Tỷ lệ duyệt đúng hạn</t>
  </si>
  <si>
    <t>Bài duyệt trước/đúng hạn duyệt (D-1) / bài đã có ngày duyệt</t>
  </si>
  <si>
    <t>Tỷ lệ bài qua checklist</t>
  </si>
  <si>
    <t>Qua checklist? = Đạt / tổng bài</t>
  </si>
  <si>
    <t>Số bài quá hạn duyệt chưa xử lý</t>
  </si>
  <si>
    <t>Hạn duyệt đã qua (so với hôm nay) mà chưa duyệt, chưa hoãn</t>
  </si>
  <si>
    <t>B. Số bài theo tuần × kênh</t>
  </si>
  <si>
    <t>C. Số bài theo người chuẩn bị</t>
  </si>
  <si>
    <t>Thành viên</t>
  </si>
  <si>
    <t>Số bài chuẩn bị</t>
  </si>
  <si>
    <t>Số bài kiểm tra</t>
  </si>
  <si>
    <t>Số bài duyệt</t>
  </si>
  <si>
    <t>D. Số bài theo trạng thái</t>
  </si>
  <si>
    <t>Đang soạn (AI nháp)</t>
  </si>
  <si>
    <t>Chờ duyệt</t>
  </si>
  <si>
    <t>Đã duyệt</t>
  </si>
  <si>
    <t>Đã đăng (mô phỏng)</t>
  </si>
  <si>
    <t>Hoãn/đổi lịch</t>
  </si>
  <si>
    <t>Giai đoạn</t>
  </si>
  <si>
    <t>Mốc dự án (từ lịch dự án đã nén)</t>
  </si>
  <si>
    <t>Khởi động</t>
  </si>
  <si>
    <t>05/10 Kick-off; Charter, WBS, lịch, sổ rủi ro (WBS 1.1, 1.2)</t>
  </si>
  <si>
    <t>Ra mắt dự án, giới thiệu nhóm và bài toán nhà thuốc</t>
  </si>
  <si>
    <t>Phân tích</t>
  </si>
  <si>
    <t>12/10 xong kế hoạch; khảo sát 2 chi nhánh (WBS 2.1)</t>
  </si>
  <si>
    <t>Vấn đề của nhà thuốc: thuốc hết hạn, báo cáo thủ công</t>
  </si>
  <si>
    <t>20/10 hạn kiểm tra kết nối phần mềm bán hàng (R01); bắt đầu SRS</t>
  </si>
  <si>
    <t>Kết quả khảo sát, rủi ro dữ liệu</t>
  </si>
  <si>
    <t>Phân tích / Thiết kế</t>
  </si>
  <si>
    <t>28/10 SRS được duyệt; 30/10 Demo 1 với chủ nhà thuốc</t>
  </si>
  <si>
    <t>User story, SRS; video giới thiệu dự án</t>
  </si>
  <si>
    <t>Thiết kế</t>
  </si>
  <si>
    <t>03/11 xong kiến trúc, CSDL; 05/11 xong mockup; test plan</t>
  </si>
  <si>
    <t>CSDL tồn kho theo lô, wireframe Dashboard</t>
  </si>
  <si>
    <t>Phát triển</t>
  </si>
  <si>
    <t>11/11 xong đăng nhập, phân quyền 3 vai trò; bắt đầu API, màn hình</t>
  </si>
  <si>
    <t>Phân quyền Chủ – Quản lý – Nhân viên; GitHub</t>
  </si>
  <si>
    <t>17/11 xong khung giao diện, thư viện component</t>
  </si>
  <si>
    <t>Cảnh báo hạn dùng, component; recap giữa kỳ</t>
  </si>
  <si>
    <t>27/11 xong tích hợp dữ liệu bán hàng, chuyển đổi dữ liệu; 27/11 Demo 2</t>
  </si>
  <si>
    <t>Chuyển đổi dữ liệu, trang Tổng quan; video Demo 2</t>
  </si>
  <si>
    <t>Phát triển / Kiểm thử</t>
  </si>
  <si>
    <t>02/12 API, 03/12 màn hình, 04/12 xuất báo cáo; 30/11 bắt đầu kiểm thử</t>
  </si>
  <si>
    <t>Kho thuốc, nhập hàng; kiểm thử từ sớm</t>
  </si>
  <si>
    <t>Kiểm thử</t>
  </si>
  <si>
    <t>Kiểm thử chức năng, phân quyền (WBS 6.2)</t>
  </si>
  <si>
    <t>Xuất báo cáo, thử phá phân quyền; bình chọn KPI</t>
  </si>
  <si>
    <t>16/12 xong kiểm thử hệ thống, bắt đầu UAT</t>
  </si>
  <si>
    <t>Hiệu năng, hậu trường sửa lỗi; thư mời nghiệm thu</t>
  </si>
  <si>
    <t>Nghiệm thu</t>
  </si>
  <si>
    <t>23/12 xong UAT, Demo 3 (nghiệm thu); bắt đầu đào tạo</t>
  </si>
  <si>
    <t>Hướng dẫn sử dụng, demo đầy đủ, đào tạo</t>
  </si>
  <si>
    <t>Triển khai</t>
  </si>
  <si>
    <t>29/12 go-live; hỗ trợ sau go-live; tổng kết</t>
  </si>
  <si>
    <t>Go-live, highlight, tổng kết dự án</t>
  </si>
  <si>
    <t>Nhóm Hữu Duyên khởi động dự án PharmaDash – Dashboard điều hành chuỗi nhà thuốc</t>
  </si>
  <si>
    <t>Biên bản kick-off 05/10 (mục tiêu, phạm vi, vai trò); Project Charter; ảnh nhóm</t>
  </si>
  <si>
    <t>1.1.1, 1.1.2</t>
  </si>
  <si>
    <t>Nguyễn Mậu Thái Duy (PM)</t>
  </si>
  <si>
    <t>Nguyễn Anh Dũng (BA)</t>
  </si>
  <si>
    <t>5 vai trò trong dự án PharmaDash và cách nhóm chia việc theo WBS</t>
  </si>
  <si>
    <t>Bảng phân vai PM/BA/BE/FE/QA; WBS 7 hạng mục, 47 gói công việc</t>
  </si>
  <si>
    <t>1.2.1</t>
  </si>
  <si>
    <t>Buổi kick-off PharmaDash trong 30 giây</t>
  </si>
  <si>
    <t>1.1.2</t>
  </si>
  <si>
    <t>Nguyễn Thị Thu Huyền (QA)</t>
  </si>
  <si>
    <t>Một năm hủy 45 triệu đồng thuốc hết hạn – vì sao nhà thuốc phát hiện muộn?</t>
  </si>
  <si>
    <t>Tài liệu yêu cầu khách hàng (mục A1); ghi chú phỏng vấn 2 chi nhánh (2.1.1)</t>
  </si>
  <si>
    <t>Tóm tắt khó khăn thành 5 ý cho 5 slide; dàn trang carousel</t>
  </si>
  <si>
    <t>2.1.1</t>
  </si>
  <si>
    <t>Ghi rõ đây là tình huống giả định của đồ án, không phải số liệu nhà thuốc thật</t>
  </si>
  <si>
    <t>Một ngày ghi tồn kho bằng Excel ở 2 chi nhánh</t>
  </si>
  <si>
    <t>Ghi chú khảo sát (2.1.1, 2.1.2); clip dựng lại cảnh nhập Excel bằng dữ liệu giả</t>
  </si>
  <si>
    <t>Viết kịch bản dạng “trước khi có PharmaDash”; phụ đề</t>
  </si>
  <si>
    <t>2.1.1, 2.1.2</t>
  </si>
  <si>
    <t>Không quay khách hàng, đơn thuốc hay quầy thuốc thật</t>
  </si>
  <si>
    <t>Ước lượng lịch bằng PERT: vì sao kế hoạch đầu tiên của nhóm trễ 11 ngày</t>
  </si>
  <si>
    <t>Bài viết + ảnh Gantt</t>
  </si>
  <si>
    <t>Sheet PERT và NenLich trong file lịch dự án; đường găng, xác suất kịp hạn</t>
  </si>
  <si>
    <t>Viết nháp bài từ góc nhìn người lập lịch; gợi ý ảnh minh hoạ</t>
  </si>
  <si>
    <t>1.2.2</t>
  </si>
  <si>
    <t>Võ Thị Minh Thơ (FE)</t>
  </si>
  <si>
    <t>Khảo sát xong: 3 vấn đề lớn nhất của chuỗi nhà thuốc</t>
  </si>
  <si>
    <t>Ảnh + caption</t>
  </si>
  <si>
    <t>Báo cáo khảo sát (2.1.1, 2.1.2)</t>
  </si>
  <si>
    <t>Viết caption từ báo cáo khảo sát; tự soát số liệu (P10)</t>
  </si>
  <si>
    <t>P01, P10</t>
  </si>
  <si>
    <t>Quản lý rủi ro từ ngày đầu: sổ đăng ký 12 rủi ro của PharmaDash</t>
  </si>
  <si>
    <t>Bài viết + ảnh ma trận rủi ro</t>
  </si>
  <si>
    <t>Sheet RuiRo, MaTran; kế hoạch dự phòng R01</t>
  </si>
  <si>
    <t>Viết nháp bài 150–250 từ; đề xuất 2–3 bài học</t>
  </si>
  <si>
    <t>1.2.3</t>
  </si>
  <si>
    <t>Phần mềm bán hàng không có API thì lấy dữ liệu thế nào?</t>
  </si>
  <si>
    <t>Video dọc 9:16, 30–45 giây</t>
  </si>
  <si>
    <t>Kết quả kiểm tra kết nối phần mềm bán hàng (rủi ro R01, hạn 20/10); phương án nhập file</t>
  </si>
  <si>
    <t>Viết kịch bản giải thích 2 phương án (API / nhập file theo lịch); phụ đề</t>
  </si>
  <si>
    <t>2.1.2, 4.4.1</t>
  </si>
  <si>
    <t>Phan Hữu Vinh (BE)</t>
  </si>
  <si>
    <t>Không nêu tên phần mềm bán hàng thật</t>
  </si>
  <si>
    <t>User story: “Là chủ nhà thuốc, tôi muốn biết lô nào sắp hết hạn”</t>
  </si>
  <si>
    <t>Product backlog, tiêu chí chấp nhận (2.2.1)</t>
  </si>
  <si>
    <t>Chọn 5 user story tiêu biểu thành 5 slide</t>
  </si>
  <si>
    <t>2.2.1</t>
  </si>
  <si>
    <t>SRS được duyệt: 8 yêu cầu bắt buộc FR01–FR08</t>
  </si>
  <si>
    <t>Infographic + caption</t>
  </si>
  <si>
    <t>SRS đã duyệt 28/10 (2.2.3); danh sách FR01–FR12</t>
  </si>
  <si>
    <t>Thiết kế infographic 8 yêu cầu; viết caption</t>
  </si>
  <si>
    <t>P06, P01</t>
  </si>
  <si>
    <t>2.2.3</t>
  </si>
  <si>
    <t>Giới thiệu dự án PharmaDash: vấn đề – giải pháp – lộ trình (Demo 1)</t>
  </si>
  <si>
    <t>Video ngang 16:9, 4–6 phút</t>
  </si>
  <si>
    <t>Slide giới thiệu, wireframe, sơ đồ kiến trúc, clip nhóm; biên bản Demo 1</t>
  </si>
  <si>
    <t>Viết kịch bản, tiêu đề, mô tả, chapters; phụ đề</t>
  </si>
  <si>
    <t>1.3.2</t>
  </si>
  <si>
    <t>Thiết kế CSDL tồn kho theo lô: vì sao không chỉ lưu một cột “số lượng”</t>
  </si>
  <si>
    <t>Bài viết + ERD</t>
  </si>
  <si>
    <t>ERD, script tạo CSDL (3.1.2); ghi chú khó khăn khi thiết kế</t>
  </si>
  <si>
    <t>Viết nháp bài; đề xuất 3 bài học về thiết kế dữ liệu</t>
  </si>
  <si>
    <t>3.1.2</t>
  </si>
  <si>
    <t>Hé lộ wireframe Dashboard điều hành nhà thuốc</t>
  </si>
  <si>
    <t>Ảnh mockup + caption</t>
  </si>
  <si>
    <t>Wireframe, mockup 8 màn hình (3.2.1, 3.2.2)</t>
  </si>
  <si>
    <t>Viết caption; dựng ảnh mockup trên khung máy tính</t>
  </si>
  <si>
    <t>3.2.1, 3.2.2</t>
  </si>
  <si>
    <t>Từ phác thảo đến giao diện: thiết kế Dashboard trong 30 giây</t>
  </si>
  <si>
    <t>File thiết kế, bảng màu, design token (3.2.1)</t>
  </si>
  <si>
    <t>Viết kịch bản “trước – sau”; phụ đề</t>
  </si>
  <si>
    <t>Mỗi người chỉ thấy đúng phần việc của mình: phân quyền Chủ – Quản lý – Nhân viên</t>
  </si>
  <si>
    <t>Mô tả xác thực và phân quyền (4.1.2); ảnh màn hình 3 vai trò (dữ liệu giả)</t>
  </si>
  <si>
    <t>Chuyển mô tả phân quyền thành 5 slide</t>
  </si>
  <si>
    <t>4.1.2</t>
  </si>
  <si>
    <t>Đăng nhập bằng tài khoản nhân viên thì thấy gì?</t>
  </si>
  <si>
    <t>Video quay màn hình 9:16, 30 giây</t>
  </si>
  <si>
    <t>Clip đăng nhập 3 tài khoản demo, so sánh màn hình (4.1.2)</t>
  </si>
  <si>
    <t>Viết kịch bản; phụ đề</t>
  </si>
  <si>
    <t>Chỉ dùng tài khoản demo, dữ liệu giả</t>
  </si>
  <si>
    <t>Làm việc nhóm với GitHub: commit nhỏ, đẩy code mỗi ngày</t>
  </si>
  <si>
    <t>Bài viết + ảnh lịch sử commit</t>
  </si>
  <si>
    <t>Lịch sử commit trên GitHub (4.1.1); quy ước “người đỡ” của rủi ro R11</t>
  </si>
  <si>
    <t>Viết nháp bài; gợi ý ảnh minh hoạ</t>
  </si>
  <si>
    <t>4.1.1</t>
  </si>
  <si>
    <t>Cảnh báo hạn dùng 30/60/90 ngày hoạt động thế nào?</t>
  </si>
  <si>
    <t>Quy tắc cảnh báo FR04; nguyên tắc xuất lô hết hạn trước (FEFO) (4.2.2)</t>
  </si>
  <si>
    <t>Thiết kế infographic 3 mức cảnh báo; viết caption</t>
  </si>
  <si>
    <t>4.2.2</t>
  </si>
  <si>
    <t>Thư viện component: một thẻ KPI dùng cho cả 4 chỉ số</t>
  </si>
  <si>
    <t>Thư viện component (5.1.2); clip giao diện</t>
  </si>
  <si>
    <t>5.1.2</t>
  </si>
  <si>
    <t>Recap giữa kỳ: đã xong gì, còn gì trước go-live</t>
  </si>
  <si>
    <t>Biên bản họp tiến độ tuần (1.3.1); file lịch dự án</t>
  </si>
  <si>
    <t>Tóm tắt biên bản thành bài recap 3 phần</t>
  </si>
  <si>
    <t>1.3.1</t>
  </si>
  <si>
    <t>Chuyển đổi 2 năm dữ liệu bán hàng từ Excel: 3 lỗi dữ liệu nhóm gặp</t>
  </si>
  <si>
    <t>Script chuyển đổi, báo cáo đối soát (4.4.2)</t>
  </si>
  <si>
    <t>Viết nháp bài từ góc nhìn backend; đề xuất bài học</t>
  </si>
  <si>
    <t>4.4.2</t>
  </si>
  <si>
    <t>Chỉ mô tả lỗi, không đưa dữ liệu thật</t>
  </si>
  <si>
    <t>Hé lộ trang Tổng quan: doanh thu, đơn hàng, lợi nhuận trên một màn hình</t>
  </si>
  <si>
    <t>Ảnh màn hình + caption</t>
  </si>
  <si>
    <t>Ảnh trang Tổng quan (5.2.1) với dữ liệu mẫu</t>
  </si>
  <si>
    <t>Viết caption; làm mờ chỗ cần che</t>
  </si>
  <si>
    <t>5.2.1, 4.2.1</t>
  </si>
  <si>
    <t>Demo 2: Tổng quan và Kho thuốc với dữ liệu mẫu (5–7 phút)</t>
  </si>
  <si>
    <t>Quay màn hình 5.2.1, 5.2.2; kịch bản demo; biên bản Demo 2</t>
  </si>
  <si>
    <t>Viết kịch bản demo, tiêu đề, mô tả, chapters; phụ đề</t>
  </si>
  <si>
    <t>1.3.2, 5.2.1, 5.2.2</t>
  </si>
  <si>
    <t>Tìm một lô thuốc sắp hết hạn giữa 1.200 mặt hàng</t>
  </si>
  <si>
    <t>Clip tab “Sắp hết hạn” và bộ lọc 30/60/90 ngày (5.2.2)</t>
  </si>
  <si>
    <t>5.2.2</t>
  </si>
  <si>
    <t>Nhận hàng là tồn kho theo lô tự cập nhật</t>
  </si>
  <si>
    <t>Luồng phiếu nhập: Nháp → Đã đặt → Nhận hàng (4.2.4, 5.2.4); ảnh màn hình</t>
  </si>
  <si>
    <t>Chuyển luồng nhập hàng thành 5 slide</t>
  </si>
  <si>
    <t>4.2.4, 5.2.4</t>
  </si>
  <si>
    <t>Kiểm thử từ sớm: 58 test case trước khi code xong</t>
  </si>
  <si>
    <t>Bài viết + 1 test case mẫu</t>
  </si>
  <si>
    <t>Kế hoạch kiểm thử, bộ test case (6.1.1)</t>
  </si>
  <si>
    <t>Viết nháp bài từ góc nhìn tester</t>
  </si>
  <si>
    <t>6.1.1</t>
  </si>
  <si>
    <t>Xuất báo cáo tháng trong 10 giây thay vì 1 ngày</t>
  </si>
  <si>
    <t>Ảnh/GIF + caption</t>
  </si>
  <si>
    <t>Chức năng xuất CSV/PDF (4.3.1); file PDF mẫu</t>
  </si>
  <si>
    <t>Viết caption; chọn ảnh minh hoạ</t>
  </si>
  <si>
    <t>4.3.1</t>
  </si>
  <si>
    <t>“10 giây” phải đo lại trên bản build trước khi đăng</t>
  </si>
  <si>
    <t>Thử “phá” phân quyền: nhân viên có xem được giá nhập không?</t>
  </si>
  <si>
    <t>Video quay màn hình 9:16, 30–45 giây</t>
  </si>
  <si>
    <t>Kết quả kiểm thử phân quyền (6.2.2)</t>
  </si>
  <si>
    <t>Viết kịch bản thử nghiệm; phụ đề</t>
  </si>
  <si>
    <t>6.2.2</t>
  </si>
  <si>
    <t>Không quay token, file .env, URL quản trị</t>
  </si>
  <si>
    <t>Dashboard nên hiển thị thêm chỉ số nào? (bình chọn)</t>
  </si>
  <si>
    <t>Bình chọn (poll) + ảnh</t>
  </si>
  <si>
    <t>Danh sách KPI hiện có (FR01–FR02); đề xuất cho giai đoạn 2</t>
  </si>
  <si>
    <t>Viết câu hỏi bình chọn và 4 lựa chọn</t>
  </si>
  <si>
    <t>Kiểm thử hiệu năng: trang Tổng quan mở dưới 2 giây với 2 năm dữ liệu</t>
  </si>
  <si>
    <t>Bài viết + ảnh kết quả đo</t>
  </si>
  <si>
    <t>Báo cáo kiểm thử hiệu năng (6.2.3)</t>
  </si>
  <si>
    <t>Viết nháp bài; gợi ý cách trình bày số đo</t>
  </si>
  <si>
    <t>6.2.3</t>
  </si>
  <si>
    <t>Chỉ đăng số đo thật từ báo cáo</t>
  </si>
  <si>
    <t>Tuần sửa lỗi: hậu trường trước buổi nghiệm thu</t>
  </si>
  <si>
    <t>Clip làm việc; ảnh danh sách lỗi đã che thông tin (6.2.4)</t>
  </si>
  <si>
    <t>6.2.4</t>
  </si>
  <si>
    <t>Thư mời buổi nghiệm thu và demo PharmaDash</t>
  </si>
  <si>
    <t>Poster + caption</t>
  </si>
  <si>
    <t>Giờ, địa điểm buổi nghiệm thu (PM xác nhận); ảnh sản phẩm</t>
  </si>
  <si>
    <t>Thiết kế poster; viết lời mời</t>
  </si>
  <si>
    <t>6.3.1</t>
  </si>
  <si>
    <t>Carousel 6 slide</t>
  </si>
  <si>
    <t>Hướng dẫn sử dụng theo vai trò (7.2.1); ảnh màn hình</t>
  </si>
  <si>
    <t>Chuyển hướng dẫn thành 6 slide</t>
  </si>
  <si>
    <t>7.2.1</t>
  </si>
  <si>
    <t>Demo đầy đủ PharmaDash (8–10 phút)</t>
  </si>
  <si>
    <t>Kịch bản demo; quay màn hình bản UAT (6.3.1)</t>
  </si>
  <si>
    <t>Đào tạo người dùng tại 2 chi nhánh</t>
  </si>
  <si>
    <t>Ảnh buổi đào tạo (7.2.2); danh sách tham dự</t>
  </si>
  <si>
    <t>Viết caption từ biên bản đào tạo</t>
  </si>
  <si>
    <t>7.2.2</t>
  </si>
  <si>
    <t>Xin phép người xuất hiện trong ảnh</t>
  </si>
  <si>
    <t>FB17</t>
  </si>
  <si>
    <t>PharmaDash chính thức go-live</t>
  </si>
  <si>
    <t>Biên bản go-live (7.1.2); ảnh sản phẩm</t>
  </si>
  <si>
    <t>Viết caption; tạo ảnh bìa</t>
  </si>
  <si>
    <t>7.1.2</t>
  </si>
  <si>
    <t>TT10</t>
  </si>
  <si>
    <t>Highlight 3 tháng làm PharmaDash trong 30 giây</t>
  </si>
  <si>
    <t>Clip tổng hợp từ các bài trước</t>
  </si>
  <si>
    <t>1.4.1</t>
  </si>
  <si>
    <t>LI09</t>
  </si>
  <si>
    <t>Tổng kết dự án PharmaDash: kết quả và bài học</t>
  </si>
  <si>
    <t>Báo cáo tổng kết, bài học kinh nghiệm (1.4.1)</t>
  </si>
  <si>
    <t>Viết nháp bài từ góc nhìn PM</t>
  </si>
  <si>
    <t>Không quảng cáo thuốc, không khuyên dùng thuốc cụ thể; tên thuốc chỉ xuất hiện như dữ liệu mẫu trong ảnh màn hình</t>
  </si>
  <si>
    <t>Đọc caption, xem ảnh; đặc biệt cẩn thận với thuốc kê đơn</t>
  </si>
  <si>
    <t>KẾ HOẠCH TRUYỀN THÔNG CÓ HỖ TRỢ AI – NHÓM HỮU DUYÊN</t>
  </si>
  <si>
    <t>PharmaDash – Dashboard điều hành chuỗi nhà thuốc · Lịch bám theo kế hoạch dự án (file QLDA_PharmaDash_LichDuAn.xlsx, sheet NenLich)</t>
  </si>
  <si>
    <t>PharmaDash – Dashboard điều hành chuỗi nhà thuốc (khách hàng giả định: chuỗi Nhà thuốc Hữu Duyên, 2 chi nhánh) – Nhóm Hữu Duyên</t>
  </si>
  <si>
    <t>05/10/2026 – 31/12/2026: 13 tuần, 6 giai đoạn (Khởi động → Triển khai); go-live 29/12/2026 theo lịch đã nén</t>
  </si>
  <si>
    <t>1) Giới thiệu sản phẩm và tiến độ theo từng giai đoạn, bám 3 buổi demo với chủ nhà thuốc (30/10, 27/11, 23/12) và go-live 29/12.
2) Tạo minh chứng cá nhân: mỗi thành viên chuẩn bị 7–9 bài.
3) Thực hành dùng AI có kiểm soát: 100% bài có người kiểm tra và người duyệt trước giờ đăng.</t>
  </si>
  <si>
    <t>Giảng viên &amp; hội đồng chấm; sinh viên CNTT, bạn cùng lớp; nhà tuyển dụng (LinkedIn); chủ, quản lý và dược sĩ nhà thuốc (người dùng giả định).</t>
  </si>
  <si>
    <t>Biết ngay lô thuốc nào sắp hết hạn, hàng nào sắp hết, doanh thu hôm nay bao nhiêu – trên một màn hình cho cả chuỗi nhà thuốc.</t>
  </si>
  <si>
    <t>Duyệt cuối: Nguyễn Mậu Thái Duy (PM) (bài do PM chuẩn bị thì Nguyễn Anh Dũng (BA) duyệt).
Kiểm tra nội dung: Nguyễn Thị Thu Huyền (QA) kiểm bài của BA/BE/FE; Nguyễn Anh Dũng (BA) kiểm bài của PM/QA.</t>
  </si>
  <si>
    <t>Kick-off, họp tiến độ tuần, recap, đào tạo, go-live: cho thấy nhóm quản lý dự án như thế nào.</t>
  </si>
  <si>
    <t>Giới thiệu từng tính năng ĐÃ làm xong: phân quyền 3 vai trò, Tổng quan, Kho thuốc theo lô, cảnh báo hạn dùng, nhập hàng, báo cáo.</t>
  </si>
  <si>
    <t>Bài toán của nhà thuốc: thuốc hết hạn, tồn kho theo lô, nguyên tắc FEFO, báo cáo thủ công, KPI kinh doanh.</t>
  </si>
  <si>
    <t>PERT, quản lý rủi ro, CSDL, GitHub, chuyển đổi dữ liệu, kiểm thử: nội dung chuyên môn cho LinkedIn/TikTok.</t>
  </si>
  <si>
    <t>Video giới thiệu (Demo 1), Demo 2, thư mời nghiệm thu, demo đầy đủ và go-live.</t>
  </si>
  <si>
    <t>Lịch 39 bài: ngày/giờ đăng, kênh, AI làm gì, công cụ, prompt, gói WBS, người chuẩn bị/kiểm tra/duyệt, hạn chót. Thành viên cập nhật các ô nền xanh lá.</t>
  </si>
  <si>
    <t>Tuần, Giai đoạn, Thứ, Ngày làm nội dung (2 ngày làm việc trước ngày đăng), Hạn duyệt (1 ngày làm việc trước), Đúng hạn?</t>
  </si>
  <si>
    <t>1. Ngày tuần và mốc lấy từ lịch dự án đã nén (QLDA_PharmaDash_LichDuAn.xlsx, sheet NenLich): Tuần 1 = 05/10–09/10; go-live 29/12/2026. Tuần làm việc T2–T6.</t>
  </si>
  <si>
    <t>2. Người chuẩn bị / kiểm tra / duyệt là ĐỀ XUẤT theo vai trò trong báo cáo lab, chờ PM xác nhận.</t>
  </si>
  <si>
    <t>4. Bài về tính năng phụ thuộc tiến độ thực tế: tính năng trễ thì dời bài hoặc đổi sang bài hậu trường, ghi ở cột Ghi chú. FR09–FR10 đã dời sang giai đoạn 2 nên không có bài giới thiệu.</t>
  </si>
  <si>
    <t>5. Chỉ dùng dữ liệu giả trong ảnh/video (thuốc, khách hàng, giá trong web app đều là dữ liệu mẫu); không đưa dữ liệu thật, mật khẩu hay secret vào prompt AI. Không quảng cáo thuốc.</t>
  </si>
  <si>
    <t>LỊCH ĐĂNG BÀI – 39 BÀI / 4 KÊNH / 13 TUẦN (MÔ PHỎNG, KHÔNG ĐĂNG THẬT)</t>
  </si>
  <si>
    <t>Ô nền xanh lá: thành viên cập nhật. Tuần, Giai đoạn, Thứ, Ngày làm nội dung, Hạn duyệt, Đúng hạn? tự tính. Prompt mẫu xem sheet Prompt_mau; checklist xem sheet Kiem_duyet.</t>
  </si>
  <si>
    <t>Hằng tuần (thứ 6, cùng buổi họp tiến độ tuần – WBS 1.3.1): PM dùng AI tóm tắt ghi chú các bài trong tuần thành 3 điểm làm tốt / 3 điểm cần sửa; đưa vào biên bản họp.</t>
  </si>
  <si>
    <t>Tóm tắt biên bản họp tuần, buổi demo, khảo sát, hướng dẫn sử dụng thành bài ngắn</t>
  </si>
  <si>
    <t>Không dùng logo/tên nhà thuốc, chuỗi dược hay phần mềm bán hàng có thật</t>
  </si>
  <si>
    <t>Ví dụ (bài FB07 “Mỗi người chỉ thấy đúng phần việc của mình: phân quyền”)</t>
  </si>
  <si>
    <t>Hiểu PharmaDash có đăng nhập an toàn và mỗi vai trò chỉ thấy đúng dữ liệu của mình</t>
  </si>
  <si>
    <t>Nhân viên bán hàng không thấy giá nhập và lợi nhuận; quản lý chỉ thấy chi nhánh của mình</t>
  </si>
  <si>
    <t>- Đăng nhập bằng JWT
- 3 vai trò: Chủ nhà thuốc, Quản lý, Nhân viên bán hàng
- Mật khẩu được băm (bcrypt); quyền được kiểm tra ở máy chủ</t>
  </si>
  <si>
    <t>Đăng nhập, phân quyền 3 vai trò, chọn chi nhánh</t>
  </si>
  <si>
    <t>dangnhap.png, tongquan_chu.png, tongquan_nhanvien.png (dữ liệu giả)</t>
  </si>
  <si>
    <t>Không hứa “bảo mật tuyệt đối”; không hiện JWT secret, file .env, URL quản trị</t>
  </si>
  <si>
    <t>Bạn là người viết nội dung cho fanpage của dự án PharmaDash – Dashboard điều hành chuỗi nhà thuốc (đồ án sinh viên Nhóm Hữu Duyên). Dựa trên brief bên dưới, viết 3 phương án caption Facebook, mỗi phương án 80–150 từ, giọng thân thiện, câu đầu gây chú ý, cuối bài có 1 lời kêu gọi (bình luận hoặc xem video). Chỉ dùng thông tin trong brief, không thêm số liệu hay tính năng khác. Mỗi phương án kèm 3–5 hashtag.
Brief: [dán brief]</t>
  </si>
  <si>
    <t>Viết bài LinkedIn 150–250 từ bằng tiếng Việt, giọng chuyên nghiệp nhưng gần gũi, từ góc nhìn [vai trò: PM/BA/BE/FE/QA] trong dự án PharmaDash – Dashboard điều hành chuỗi nhà thuốc (đồ án sinh viên Nhóm Hữu Duyên). Cấu trúc: bối cảnh (1–2 câu) → vấn đề gặp phải → cách nhóm giải quyết → 2–3 bài học. Không phóng đại, không dùng số liệu ngoài ghi chú. Kết bằng 1 câu hỏi mở cho người đọc.
Ghi chú: [dán]</t>
  </si>
  <si>
    <t>Kịch bản demo; danh sách màn hình</t>
  </si>
  <si>
    <t>Thiết kế [ảnh bìa/poster/infographic] tỷ lệ [1:1 | 4:5 | 16:9] cho dự án PharmaDash – Dashboard điều hành nhà thuốc. Phong cách tối giản, chuyên nghiệp, màu chủ đạo tím và trắng, biểu tượng hộp thuốc/lịch/biểu đồ. Tiêu đề: “[tiêu đề]”. Không dùng logo hay tên nhà thuốc, chuỗi dược có thật, không vẽ vỉ thuốc có nhãn hiệu thật, không dùng hình người có thật.</t>
  </si>
  <si>
    <t>Các bước trong CapCut: (1) tạo phụ đề tự động; (2) rà từng dòng, sửa thuật ngữ JWT, FEFO, Dashboard, KPI, UAT, tên thành viên; (3) nếu cần giọng đọc, dán lời thoại ĐÃ DUYỆT vào tính năng chuyển văn bản thành giọng nói; (4) nghe lại toàn bộ trước khi xuất.</t>
  </si>
  <si>
    <t>Recap / tổng kết</t>
  </si>
  <si>
    <t>Từ biên bản họp tiến độ tuần / buổi demo bên dưới, viết bài recap 120–180 từ gồm 3 phần: Đã hoàn thành, Bài học, Giai đoạn tiếp theo. Chỉ dùng thông tin trong biên bản. Không nêu lỗi hay khó khăn cá nhân của từng thành viên.
Biên bản: [dán]</t>
  </si>
  <si>
    <t>Biên bản họp tuần / buổi demo</t>
  </si>
  <si>
    <t>Đọc bản nháp sau và liệt kê, KHÔNG viết lại bài: (1) mọi câu khẳng định về tính năng, số liệu, ngày tháng cần người kiểm chứng; (2) chỗ có thể khiến người đọc nghĩ đây là sản phẩm thương mại hoặc của nhà thuốc thật; (3) câu có thể bị hiểu là quảng cáo thuốc hoặc khuyên dùng thuốc; (4) lỗi chính tả, thuật ngữ.
Bản nháp: [dán]</t>
  </si>
  <si>
    <t>Cập nhật tiến độ, giới thiệu tính năng, kiến thức nhà thuốc, sự kiện demo</t>
  </si>
  <si>
    <t>Bạn cùng lớp, giảng viên, chủ và nhân viên nhà thuốc (giả định)</t>
  </si>
  <si>
    <t>1–2 bài/tuần (17 bài)</t>
  </si>
  <si>
    <t>Khoảng 1 bài/tuần (10 bài)</t>
  </si>
  <si>
    <t>Khoảng 1 bài/tuần (9 bài)</t>
  </si>
  <si>
    <t>3 video (tuần 4, 8, 12 – theo 3 buổi demo)</t>
  </si>
  <si>
    <t>Ảnh/video chỉ dùng dữ liệu giả: không tên, SĐT khách hàng, đơn thuốc, giá nhập thật</t>
  </si>
  <si>
    <t>Không lộ mật khẩu, chuỗi kết nối, JWT secret, file .env, URL quản trị</t>
  </si>
  <si>
    <t>Không dùng logo, tên, giao diện của nhà thuốc, chuỗi dược hay phần mềm bán hàng có thật</t>
  </si>
  <si>
    <t>Chính tả, dấu tiếng Việt, thuật ngữ (JWT, FEFO, Dashboard, KPI, UAT) thống nhất</t>
  </si>
  <si>
    <t>Lịch 13 tuần, mốc dự án và trọng tâm truyền thông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</si>
</sst>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2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9"/>
      <color rgb="FF595959"/>
      <name val="Arial"/>
      <charset val="1"/>
    </font>
    <font>
      <b/>
      <sz val="11"/>
      <color rgb="FF1F3864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10"/>
      <color rgb="FF0000FF"/>
      <name val="Arial"/>
      <charset val="1"/>
    </font>
    <font>
      <sz val="10"/>
      <name val="Arial"/>
      <family val="2"/>
    </font>
    <font>
      <i/>
      <sz val="10"/>
      <color rgb="FF000000"/>
      <name val="Arial"/>
      <charset val="1"/>
    </font>
    <font>
      <b/>
      <sz val="10"/>
      <color rgb="FFC00000"/>
      <name val="Arial"/>
      <charset val="1"/>
    </font>
    <font>
      <sz val="10"/>
      <color rgb="FF0000F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D9D9D9"/>
      </patternFill>
    </fill>
    <fill>
      <patternFill patternType="solid">
        <fgColor rgb="FF1F3864"/>
        <bgColor rgb="FF333399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1" fillId="0" borderId="0" xfId="0" applyFont="1"/>
    <xf numFmtId="0" fontId="3" fillId="2" borderId="0" xfId="0" applyFont="1" applyFill="1"/>
    <xf numFmtId="0" fontId="0" fillId="2" borderId="0" xfId="0" applyFill="1"/>
    <xf numFmtId="0" fontId="5" fillId="0" borderId="1" xfId="0" applyFont="1" applyBorder="1" applyAlignment="1">
      <alignment horizontal="center" vertical="top" wrapText="1"/>
    </xf>
    <xf numFmtId="9" fontId="5" fillId="0" borderId="1" xfId="0" applyNumberFormat="1" applyFont="1" applyBorder="1" applyAlignment="1">
      <alignment horizontal="center" vertical="top" wrapText="1"/>
    </xf>
    <xf numFmtId="0" fontId="0" fillId="0" borderId="1" xfId="0" applyBorder="1"/>
    <xf numFmtId="0" fontId="4" fillId="0" borderId="1" xfId="0" applyFont="1" applyBorder="1" applyAlignment="1">
      <alignment horizontal="center" vertical="top" wrapText="1"/>
    </xf>
    <xf numFmtId="9" fontId="4" fillId="0" borderId="1" xfId="0" applyNumberFormat="1" applyFont="1" applyBorder="1" applyAlignment="1">
      <alignment horizontal="center" vertical="top" wrapText="1"/>
    </xf>
    <xf numFmtId="164" fontId="5" fillId="0" borderId="1" xfId="0" applyNumberFormat="1" applyFont="1" applyBorder="1" applyAlignment="1">
      <alignment horizontal="center" vertical="top" wrapText="1"/>
    </xf>
    <xf numFmtId="0" fontId="4" fillId="4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164" fontId="5" fillId="4" borderId="1" xfId="0" applyNumberFormat="1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5" fillId="0" borderId="1" xfId="0" applyNumberFormat="1" applyFont="1" applyBorder="1" applyAlignment="1">
      <alignment horizontal="center" vertical="top" wrapText="1"/>
    </xf>
    <xf numFmtId="1" fontId="11" fillId="0" borderId="1" xfId="0" applyNumberFormat="1" applyFont="1" applyBorder="1" applyAlignment="1">
      <alignment horizontal="center" vertical="top" wrapText="1"/>
    </xf>
    <xf numFmtId="9" fontId="11" fillId="0" borderId="1" xfId="0" applyNumberFormat="1" applyFont="1" applyBorder="1" applyAlignment="1">
      <alignment horizontal="center" vertical="top" wrapText="1"/>
    </xf>
    <xf numFmtId="49" fontId="5" fillId="0" borderId="1" xfId="0" applyNumberFormat="1" applyFont="1" applyBorder="1" applyAlignment="1">
      <alignment horizontal="center" vertical="top" wrapText="1"/>
    </xf>
    <xf numFmtId="20" fontId="5" fillId="0" borderId="1" xfId="0" applyNumberFormat="1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6">
    <dxf>
      <fill>
        <patternFill>
          <bgColor rgb="FFFFC7CE"/>
        </patternFill>
      </fill>
    </dxf>
    <dxf>
      <fill>
        <patternFill>
          <bgColor rgb="FFA9D08E"/>
        </patternFill>
      </fill>
    </dxf>
    <dxf>
      <fill>
        <patternFill>
          <bgColor rgb="FFC6EFCE"/>
        </patternFill>
      </fill>
    </dxf>
    <dxf>
      <font>
        <b/>
        <color rgb="FF006100"/>
        <name val="Arial"/>
        <charset val="1"/>
      </font>
    </dxf>
    <dxf>
      <font>
        <b/>
        <color rgb="FFC00000"/>
        <name val="Arial"/>
        <charset val="1"/>
      </font>
    </dxf>
    <dxf>
      <fill>
        <patternFill>
          <bgColor rgb="FFF2F2F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2F2F2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FCE"/>
      <rgbColor rgb="FFFFFF99"/>
      <rgbColor rgb="FFA9D08E"/>
      <rgbColor rgb="FFFF99CC"/>
      <rgbColor rgb="FFCC99FF"/>
      <rgbColor rgb="FFFFC7CE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Số bài theo tuần và kênh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Tong_hop!$C$14</c:f>
              <c:strCache>
                <c:ptCount val="1"/>
                <c:pt idx="0">
                  <c:v>Facebook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Tong_hop!$A$15:$A$27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Tong_hop!$C$15:$C$27</c:f>
              <c:numCache>
                <c:formatCode>General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48-46AF-90CE-055D506C2DEA}"/>
            </c:ext>
          </c:extLst>
        </c:ser>
        <c:ser>
          <c:idx val="1"/>
          <c:order val="1"/>
          <c:tx>
            <c:strRef>
              <c:f>Tong_hop!$D$14</c:f>
              <c:strCache>
                <c:ptCount val="1"/>
                <c:pt idx="0">
                  <c:v>TikTok/Reels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Tong_hop!$A$15:$A$27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Tong_hop!$D$15:$D$27</c:f>
              <c:numCache>
                <c:formatCode>General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48-46AF-90CE-055D506C2DEA}"/>
            </c:ext>
          </c:extLst>
        </c:ser>
        <c:ser>
          <c:idx val="2"/>
          <c:order val="2"/>
          <c:tx>
            <c:strRef>
              <c:f>Tong_hop!$E$14</c:f>
              <c:strCache>
                <c:ptCount val="1"/>
                <c:pt idx="0">
                  <c:v>LinkedIn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Tong_hop!$A$15:$A$27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Tong_hop!$E$15:$E$27</c:f>
              <c:numCache>
                <c:formatCode>General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48-46AF-90CE-055D506C2DEA}"/>
            </c:ext>
          </c:extLst>
        </c:ser>
        <c:ser>
          <c:idx val="3"/>
          <c:order val="3"/>
          <c:tx>
            <c:strRef>
              <c:f>Tong_hop!$F$14</c:f>
              <c:strCache>
                <c:ptCount val="1"/>
                <c:pt idx="0">
                  <c:v>YouTube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Tong_hop!$A$15:$A$27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Tong_hop!$F$15:$F$27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48-46AF-90CE-055D506C2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131"/>
        <c:axId val="55539473"/>
      </c:barChart>
      <c:catAx>
        <c:axId val="381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Tuần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539473"/>
        <c:crosses val="autoZero"/>
        <c:auto val="1"/>
        <c:lblAlgn val="ctr"/>
        <c:lblOffset val="100"/>
        <c:noMultiLvlLbl val="0"/>
      </c:catAx>
      <c:valAx>
        <c:axId val="555394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Số bài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1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11</xdr:row>
      <xdr:rowOff>126360</xdr:rowOff>
    </xdr:from>
    <xdr:to>
      <xdr:col>17</xdr:col>
      <xdr:colOff>256320</xdr:colOff>
      <xdr:row>26</xdr:row>
      <xdr:rowOff>3540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0"/>
  <sheetViews>
    <sheetView showGridLines="0" tabSelected="1" zoomScaleNormal="100" workbookViewId="0"/>
  </sheetViews>
  <sheetFormatPr defaultColWidth="8.6640625" defaultRowHeight="14.4" x14ac:dyDescent="0.3"/>
  <cols>
    <col min="1" max="1" width="20" customWidth="1"/>
    <col min="2" max="3" width="14" customWidth="1"/>
    <col min="4" max="4" width="12" customWidth="1"/>
    <col min="5" max="5" width="52" customWidth="1"/>
    <col min="6" max="6" width="42" customWidth="1"/>
  </cols>
  <sheetData>
    <row r="1" spans="1:6" ht="17.399999999999999" x14ac:dyDescent="0.3">
      <c r="A1" s="4" t="s">
        <v>601</v>
      </c>
    </row>
    <row r="2" spans="1:6" ht="30" customHeight="1" x14ac:dyDescent="0.3">
      <c r="A2" s="28" t="s">
        <v>602</v>
      </c>
      <c r="B2" s="28"/>
      <c r="C2" s="28"/>
      <c r="D2" s="28"/>
      <c r="E2" s="28"/>
      <c r="F2" s="28"/>
    </row>
    <row r="4" spans="1:6" x14ac:dyDescent="0.3">
      <c r="A4" s="5" t="s">
        <v>0</v>
      </c>
      <c r="B4" s="6"/>
      <c r="C4" s="6"/>
      <c r="D4" s="6"/>
      <c r="E4" s="6"/>
      <c r="F4" s="6"/>
    </row>
    <row r="5" spans="1:6" ht="15" customHeight="1" x14ac:dyDescent="0.3">
      <c r="A5" s="1" t="s">
        <v>1</v>
      </c>
      <c r="B5" s="26" t="s">
        <v>603</v>
      </c>
      <c r="C5" s="26"/>
      <c r="D5" s="26"/>
      <c r="E5" s="26"/>
      <c r="F5" s="26"/>
    </row>
    <row r="6" spans="1:6" ht="15" customHeight="1" x14ac:dyDescent="0.3">
      <c r="A6" s="1" t="s">
        <v>2</v>
      </c>
      <c r="B6" s="26" t="s">
        <v>604</v>
      </c>
      <c r="C6" s="26"/>
      <c r="D6" s="26"/>
      <c r="E6" s="26"/>
      <c r="F6" s="26"/>
    </row>
    <row r="7" spans="1:6" ht="27.75" customHeight="1" x14ac:dyDescent="0.3">
      <c r="A7" s="1" t="s">
        <v>3</v>
      </c>
      <c r="B7" s="26" t="s">
        <v>4</v>
      </c>
      <c r="C7" s="26"/>
      <c r="D7" s="26"/>
      <c r="E7" s="26"/>
      <c r="F7" s="26"/>
    </row>
    <row r="8" spans="1:6" ht="15" customHeight="1" x14ac:dyDescent="0.3">
      <c r="A8" s="1" t="s">
        <v>5</v>
      </c>
      <c r="B8" s="26" t="s">
        <v>6</v>
      </c>
      <c r="C8" s="26"/>
      <c r="D8" s="26"/>
      <c r="E8" s="26"/>
      <c r="F8" s="26"/>
    </row>
    <row r="9" spans="1:6" ht="69.75" customHeight="1" x14ac:dyDescent="0.3">
      <c r="A9" s="1" t="s">
        <v>7</v>
      </c>
      <c r="B9" s="26" t="s">
        <v>605</v>
      </c>
      <c r="C9" s="26"/>
      <c r="D9" s="26"/>
      <c r="E9" s="26"/>
      <c r="F9" s="26"/>
    </row>
    <row r="10" spans="1:6" ht="27.75" customHeight="1" x14ac:dyDescent="0.3">
      <c r="A10" s="1" t="s">
        <v>8</v>
      </c>
      <c r="B10" s="26" t="s">
        <v>606</v>
      </c>
      <c r="C10" s="26"/>
      <c r="D10" s="26"/>
      <c r="E10" s="26"/>
      <c r="F10" s="26"/>
    </row>
    <row r="11" spans="1:6" ht="27.75" customHeight="1" x14ac:dyDescent="0.3">
      <c r="A11" s="1" t="s">
        <v>9</v>
      </c>
      <c r="B11" s="26" t="s">
        <v>607</v>
      </c>
      <c r="C11" s="26"/>
      <c r="D11" s="26"/>
      <c r="E11" s="26"/>
      <c r="F11" s="26"/>
    </row>
    <row r="12" spans="1:6" ht="27.75" customHeight="1" x14ac:dyDescent="0.3">
      <c r="A12" s="1" t="s">
        <v>10</v>
      </c>
      <c r="B12" s="26" t="s">
        <v>11</v>
      </c>
      <c r="C12" s="26"/>
      <c r="D12" s="26"/>
      <c r="E12" s="26"/>
      <c r="F12" s="26"/>
    </row>
    <row r="13" spans="1:6" ht="42" customHeight="1" x14ac:dyDescent="0.3">
      <c r="A13" s="1" t="s">
        <v>12</v>
      </c>
      <c r="B13" s="26" t="s">
        <v>608</v>
      </c>
      <c r="C13" s="26"/>
      <c r="D13" s="26"/>
      <c r="E13" s="26"/>
      <c r="F13" s="26"/>
    </row>
    <row r="14" spans="1:6" ht="27.75" customHeight="1" x14ac:dyDescent="0.3">
      <c r="A14" s="1" t="s">
        <v>13</v>
      </c>
      <c r="B14" s="26" t="s">
        <v>14</v>
      </c>
      <c r="C14" s="26"/>
      <c r="D14" s="26"/>
      <c r="E14" s="26"/>
      <c r="F14" s="26"/>
    </row>
    <row r="16" spans="1:6" x14ac:dyDescent="0.3">
      <c r="A16" s="5" t="s">
        <v>15</v>
      </c>
      <c r="B16" s="6"/>
      <c r="C16" s="6"/>
      <c r="D16" s="6"/>
      <c r="E16" s="6"/>
      <c r="F16" s="6"/>
    </row>
    <row r="17" spans="1:6" ht="15" customHeight="1" x14ac:dyDescent="0.3">
      <c r="A17" s="2" t="s">
        <v>16</v>
      </c>
      <c r="B17" s="27" t="s">
        <v>17</v>
      </c>
      <c r="C17" s="27"/>
      <c r="D17" s="27"/>
      <c r="E17" s="2" t="s">
        <v>18</v>
      </c>
      <c r="F17" s="2" t="s">
        <v>19</v>
      </c>
    </row>
    <row r="18" spans="1:6" ht="45.75" customHeight="1" x14ac:dyDescent="0.3">
      <c r="A18" s="1" t="s">
        <v>20</v>
      </c>
      <c r="B18" s="26" t="s">
        <v>609</v>
      </c>
      <c r="C18" s="26"/>
      <c r="D18" s="26"/>
      <c r="E18" s="7">
        <f>COUNTIF(Lich_dang!$J$5:$J$43,A18)</f>
        <v>9</v>
      </c>
      <c r="F18" s="8">
        <f>IF(SUM($E$18:$E$22)=0,0,E18/SUM($E$18:$E$22))</f>
        <v>0.23076923076923078</v>
      </c>
    </row>
    <row r="19" spans="1:6" ht="60" customHeight="1" x14ac:dyDescent="0.3">
      <c r="A19" s="1" t="s">
        <v>21</v>
      </c>
      <c r="B19" s="26" t="s">
        <v>610</v>
      </c>
      <c r="C19" s="26"/>
      <c r="D19" s="26"/>
      <c r="E19" s="7">
        <f>COUNTIF(Lich_dang!$J$5:$J$43,A19)</f>
        <v>9</v>
      </c>
      <c r="F19" s="8">
        <f>IF(SUM($E$18:$E$22)=0,0,E19/SUM($E$18:$E$22))</f>
        <v>0.23076923076923078</v>
      </c>
    </row>
    <row r="20" spans="1:6" ht="45.75" customHeight="1" x14ac:dyDescent="0.3">
      <c r="A20" s="1" t="s">
        <v>22</v>
      </c>
      <c r="B20" s="26" t="s">
        <v>611</v>
      </c>
      <c r="C20" s="26"/>
      <c r="D20" s="26"/>
      <c r="E20" s="7">
        <f>COUNTIF(Lich_dang!$J$5:$J$43,A20)</f>
        <v>6</v>
      </c>
      <c r="F20" s="8">
        <f>IF(SUM($E$18:$E$22)=0,0,E20/SUM($E$18:$E$22))</f>
        <v>0.15384615384615385</v>
      </c>
    </row>
    <row r="21" spans="1:6" ht="45.75" customHeight="1" x14ac:dyDescent="0.3">
      <c r="A21" s="1" t="s">
        <v>23</v>
      </c>
      <c r="B21" s="26" t="s">
        <v>612</v>
      </c>
      <c r="C21" s="26"/>
      <c r="D21" s="26"/>
      <c r="E21" s="7">
        <f>COUNTIF(Lich_dang!$J$5:$J$43,A21)</f>
        <v>10</v>
      </c>
      <c r="F21" s="8">
        <f>IF(SUM($E$18:$E$22)=0,0,E21/SUM($E$18:$E$22))</f>
        <v>0.25641025641025639</v>
      </c>
    </row>
    <row r="22" spans="1:6" ht="31.5" customHeight="1" x14ac:dyDescent="0.3">
      <c r="A22" s="1" t="s">
        <v>24</v>
      </c>
      <c r="B22" s="26" t="s">
        <v>613</v>
      </c>
      <c r="C22" s="26"/>
      <c r="D22" s="26"/>
      <c r="E22" s="7">
        <f>COUNTIF(Lich_dang!$J$5:$J$43,A22)</f>
        <v>5</v>
      </c>
      <c r="F22" s="8">
        <f>IF(SUM($E$18:$E$22)=0,0,E22/SUM($E$18:$E$22))</f>
        <v>0.12820512820512819</v>
      </c>
    </row>
    <row r="23" spans="1:6" x14ac:dyDescent="0.3">
      <c r="A23" s="1" t="s">
        <v>25</v>
      </c>
      <c r="B23" s="9"/>
      <c r="C23" s="9"/>
      <c r="D23" s="9"/>
      <c r="E23" s="10">
        <f>SUM(E18:E22)</f>
        <v>39</v>
      </c>
      <c r="F23" s="11">
        <f>SUM(F18:F22)</f>
        <v>1</v>
      </c>
    </row>
    <row r="25" spans="1:6" x14ac:dyDescent="0.3">
      <c r="A25" s="5" t="s">
        <v>651</v>
      </c>
      <c r="B25" s="6"/>
      <c r="C25" s="6"/>
      <c r="D25" s="6"/>
      <c r="E25" s="6"/>
      <c r="F25" s="6"/>
    </row>
    <row r="26" spans="1:6" x14ac:dyDescent="0.3">
      <c r="A26" s="2" t="s">
        <v>26</v>
      </c>
      <c r="B26" s="2" t="s">
        <v>27</v>
      </c>
      <c r="C26" s="2" t="s">
        <v>28</v>
      </c>
      <c r="D26" s="2" t="s">
        <v>385</v>
      </c>
      <c r="E26" s="2" t="s">
        <v>386</v>
      </c>
      <c r="F26" s="2" t="s">
        <v>29</v>
      </c>
    </row>
    <row r="27" spans="1:6" ht="30" customHeight="1" x14ac:dyDescent="0.3">
      <c r="A27" s="7">
        <v>1</v>
      </c>
      <c r="B27" s="12">
        <f>DATE(2026,10,5)</f>
        <v>46300</v>
      </c>
      <c r="C27" s="12">
        <f>DATE(2026,10,9)</f>
        <v>46304</v>
      </c>
      <c r="D27" s="7" t="s">
        <v>387</v>
      </c>
      <c r="E27" s="3" t="s">
        <v>388</v>
      </c>
      <c r="F27" s="3" t="s">
        <v>389</v>
      </c>
    </row>
    <row r="28" spans="1:6" ht="30" customHeight="1" x14ac:dyDescent="0.3">
      <c r="A28" s="7">
        <v>2</v>
      </c>
      <c r="B28" s="12">
        <f>DATE(2026,10,12)</f>
        <v>46307</v>
      </c>
      <c r="C28" s="12">
        <f>DATE(2026,10,16)</f>
        <v>46311</v>
      </c>
      <c r="D28" s="7" t="s">
        <v>390</v>
      </c>
      <c r="E28" s="3" t="s">
        <v>391</v>
      </c>
      <c r="F28" s="3" t="s">
        <v>392</v>
      </c>
    </row>
    <row r="29" spans="1:6" ht="30" customHeight="1" x14ac:dyDescent="0.3">
      <c r="A29" s="7">
        <v>3</v>
      </c>
      <c r="B29" s="12">
        <f>DATE(2026,10,19)</f>
        <v>46314</v>
      </c>
      <c r="C29" s="12">
        <f>DATE(2026,10,23)</f>
        <v>46318</v>
      </c>
      <c r="D29" s="7" t="s">
        <v>390</v>
      </c>
      <c r="E29" s="3" t="s">
        <v>393</v>
      </c>
      <c r="F29" s="3" t="s">
        <v>394</v>
      </c>
    </row>
    <row r="30" spans="1:6" ht="30" customHeight="1" x14ac:dyDescent="0.3">
      <c r="A30" s="7">
        <v>4</v>
      </c>
      <c r="B30" s="12">
        <f>DATE(2026,10,26)</f>
        <v>46321</v>
      </c>
      <c r="C30" s="12">
        <f>DATE(2026,10,30)</f>
        <v>46325</v>
      </c>
      <c r="D30" s="7" t="s">
        <v>395</v>
      </c>
      <c r="E30" s="3" t="s">
        <v>396</v>
      </c>
      <c r="F30" s="3" t="s">
        <v>397</v>
      </c>
    </row>
    <row r="31" spans="1:6" ht="30" customHeight="1" x14ac:dyDescent="0.3">
      <c r="A31" s="7">
        <v>5</v>
      </c>
      <c r="B31" s="12">
        <f>DATE(2026,11,2)</f>
        <v>46328</v>
      </c>
      <c r="C31" s="12">
        <f>DATE(2026,11,6)</f>
        <v>46332</v>
      </c>
      <c r="D31" s="7" t="s">
        <v>398</v>
      </c>
      <c r="E31" s="3" t="s">
        <v>399</v>
      </c>
      <c r="F31" s="3" t="s">
        <v>400</v>
      </c>
    </row>
    <row r="32" spans="1:6" ht="30" customHeight="1" x14ac:dyDescent="0.3">
      <c r="A32" s="7">
        <v>6</v>
      </c>
      <c r="B32" s="12">
        <f>DATE(2026,11,9)</f>
        <v>46335</v>
      </c>
      <c r="C32" s="12">
        <f>DATE(2026,11,13)</f>
        <v>46339</v>
      </c>
      <c r="D32" s="7" t="s">
        <v>401</v>
      </c>
      <c r="E32" s="3" t="s">
        <v>402</v>
      </c>
      <c r="F32" s="3" t="s">
        <v>403</v>
      </c>
    </row>
    <row r="33" spans="1:6" ht="30" customHeight="1" x14ac:dyDescent="0.3">
      <c r="A33" s="7">
        <v>7</v>
      </c>
      <c r="B33" s="12">
        <f>DATE(2026,11,16)</f>
        <v>46342</v>
      </c>
      <c r="C33" s="12">
        <f>DATE(2026,11,20)</f>
        <v>46346</v>
      </c>
      <c r="D33" s="7" t="s">
        <v>401</v>
      </c>
      <c r="E33" s="3" t="s">
        <v>404</v>
      </c>
      <c r="F33" s="3" t="s">
        <v>405</v>
      </c>
    </row>
    <row r="34" spans="1:6" ht="30" customHeight="1" x14ac:dyDescent="0.3">
      <c r="A34" s="7">
        <v>8</v>
      </c>
      <c r="B34" s="12">
        <f>DATE(2026,11,23)</f>
        <v>46349</v>
      </c>
      <c r="C34" s="12">
        <f>DATE(2026,11,27)</f>
        <v>46353</v>
      </c>
      <c r="D34" s="7" t="s">
        <v>401</v>
      </c>
      <c r="E34" s="3" t="s">
        <v>406</v>
      </c>
      <c r="F34" s="3" t="s">
        <v>407</v>
      </c>
    </row>
    <row r="35" spans="1:6" ht="30" customHeight="1" x14ac:dyDescent="0.3">
      <c r="A35" s="7">
        <v>9</v>
      </c>
      <c r="B35" s="12">
        <f>DATE(2026,11,30)</f>
        <v>46356</v>
      </c>
      <c r="C35" s="12">
        <f>DATE(2026,12,4)</f>
        <v>46360</v>
      </c>
      <c r="D35" s="7" t="s">
        <v>408</v>
      </c>
      <c r="E35" s="3" t="s">
        <v>409</v>
      </c>
      <c r="F35" s="3" t="s">
        <v>410</v>
      </c>
    </row>
    <row r="36" spans="1:6" ht="30" customHeight="1" x14ac:dyDescent="0.3">
      <c r="A36" s="7">
        <v>10</v>
      </c>
      <c r="B36" s="12">
        <f>DATE(2026,12,7)</f>
        <v>46363</v>
      </c>
      <c r="C36" s="12">
        <f>DATE(2026,12,11)</f>
        <v>46367</v>
      </c>
      <c r="D36" s="7" t="s">
        <v>411</v>
      </c>
      <c r="E36" s="3" t="s">
        <v>412</v>
      </c>
      <c r="F36" s="3" t="s">
        <v>413</v>
      </c>
    </row>
    <row r="37" spans="1:6" ht="30" customHeight="1" x14ac:dyDescent="0.3">
      <c r="A37" s="7">
        <v>11</v>
      </c>
      <c r="B37" s="12">
        <f>DATE(2026,12,14)</f>
        <v>46370</v>
      </c>
      <c r="C37" s="12">
        <f>DATE(2026,12,18)</f>
        <v>46374</v>
      </c>
      <c r="D37" s="7" t="s">
        <v>411</v>
      </c>
      <c r="E37" s="3" t="s">
        <v>414</v>
      </c>
      <c r="F37" s="3" t="s">
        <v>415</v>
      </c>
    </row>
    <row r="38" spans="1:6" ht="30" customHeight="1" x14ac:dyDescent="0.3">
      <c r="A38" s="7">
        <v>12</v>
      </c>
      <c r="B38" s="12">
        <f>DATE(2026,12,21)</f>
        <v>46377</v>
      </c>
      <c r="C38" s="12">
        <f>DATE(2026,12,25)</f>
        <v>46381</v>
      </c>
      <c r="D38" s="7" t="s">
        <v>416</v>
      </c>
      <c r="E38" s="3" t="s">
        <v>417</v>
      </c>
      <c r="F38" s="3" t="s">
        <v>418</v>
      </c>
    </row>
    <row r="39" spans="1:6" ht="30" customHeight="1" x14ac:dyDescent="0.3">
      <c r="A39" s="7">
        <v>13</v>
      </c>
      <c r="B39" s="12">
        <f>DATE(2026,12,28)</f>
        <v>46384</v>
      </c>
      <c r="C39" s="12">
        <f>DATE(2026,12,31)</f>
        <v>46387</v>
      </c>
      <c r="D39" s="7" t="s">
        <v>419</v>
      </c>
      <c r="E39" s="3" t="s">
        <v>420</v>
      </c>
      <c r="F39" s="3" t="s">
        <v>421</v>
      </c>
    </row>
    <row r="41" spans="1:6" x14ac:dyDescent="0.3">
      <c r="A41" s="5" t="s">
        <v>30</v>
      </c>
      <c r="B41" s="6"/>
      <c r="C41" s="6"/>
      <c r="D41" s="6"/>
      <c r="E41" s="6"/>
      <c r="F41" s="6"/>
    </row>
    <row r="42" spans="1:6" ht="27.75" customHeight="1" x14ac:dyDescent="0.3">
      <c r="A42" s="1" t="s">
        <v>31</v>
      </c>
      <c r="B42" s="26" t="s">
        <v>614</v>
      </c>
      <c r="C42" s="26"/>
      <c r="D42" s="26"/>
      <c r="E42" s="26"/>
      <c r="F42" s="26"/>
    </row>
    <row r="43" spans="1:6" ht="27.75" customHeight="1" x14ac:dyDescent="0.3">
      <c r="A43" s="1" t="s">
        <v>32</v>
      </c>
      <c r="B43" s="26" t="s">
        <v>33</v>
      </c>
      <c r="C43" s="26"/>
      <c r="D43" s="26"/>
      <c r="E43" s="26"/>
      <c r="F43" s="26"/>
    </row>
    <row r="44" spans="1:6" ht="27.75" customHeight="1" x14ac:dyDescent="0.3">
      <c r="A44" s="1" t="s">
        <v>34</v>
      </c>
      <c r="B44" s="26" t="s">
        <v>35</v>
      </c>
      <c r="C44" s="26"/>
      <c r="D44" s="26"/>
      <c r="E44" s="26"/>
      <c r="F44" s="26"/>
    </row>
    <row r="45" spans="1:6" ht="27.75" customHeight="1" x14ac:dyDescent="0.3">
      <c r="A45" s="1" t="s">
        <v>36</v>
      </c>
      <c r="B45" s="26" t="s">
        <v>37</v>
      </c>
      <c r="C45" s="26"/>
      <c r="D45" s="26"/>
      <c r="E45" s="26"/>
      <c r="F45" s="26"/>
    </row>
    <row r="46" spans="1:6" ht="27.75" customHeight="1" x14ac:dyDescent="0.3">
      <c r="A46" s="1" t="s">
        <v>38</v>
      </c>
      <c r="B46" s="26" t="s">
        <v>39</v>
      </c>
      <c r="C46" s="26"/>
      <c r="D46" s="26"/>
      <c r="E46" s="26"/>
      <c r="F46" s="26"/>
    </row>
    <row r="47" spans="1:6" ht="27.75" customHeight="1" x14ac:dyDescent="0.3">
      <c r="A47" s="1" t="s">
        <v>40</v>
      </c>
      <c r="B47" s="26" t="s">
        <v>41</v>
      </c>
      <c r="C47" s="26"/>
      <c r="D47" s="26"/>
      <c r="E47" s="26"/>
      <c r="F47" s="26"/>
    </row>
    <row r="49" spans="1:6" x14ac:dyDescent="0.3">
      <c r="A49" s="5" t="s">
        <v>42</v>
      </c>
      <c r="B49" s="6"/>
      <c r="C49" s="6"/>
      <c r="D49" s="6"/>
      <c r="E49" s="6"/>
      <c r="F49" s="6"/>
    </row>
    <row r="50" spans="1:6" ht="27.75" customHeight="1" x14ac:dyDescent="0.3">
      <c r="A50" s="13" t="s">
        <v>43</v>
      </c>
      <c r="B50" s="26" t="s">
        <v>44</v>
      </c>
      <c r="C50" s="26"/>
      <c r="D50" s="26"/>
      <c r="E50" s="26"/>
      <c r="F50" s="26"/>
    </row>
    <row r="51" spans="1:6" ht="27.75" customHeight="1" x14ac:dyDescent="0.3">
      <c r="A51" s="14" t="s">
        <v>45</v>
      </c>
      <c r="B51" s="26" t="s">
        <v>46</v>
      </c>
      <c r="C51" s="26"/>
      <c r="D51" s="26"/>
      <c r="E51" s="26"/>
      <c r="F51" s="26"/>
    </row>
    <row r="52" spans="1:6" ht="27.75" customHeight="1" x14ac:dyDescent="0.3">
      <c r="A52" s="15" t="s">
        <v>47</v>
      </c>
      <c r="B52" s="26" t="s">
        <v>48</v>
      </c>
      <c r="C52" s="26"/>
      <c r="D52" s="26"/>
      <c r="E52" s="26"/>
      <c r="F52" s="26"/>
    </row>
    <row r="53" spans="1:6" ht="27.75" customHeight="1" x14ac:dyDescent="0.3">
      <c r="A53" s="1" t="s">
        <v>49</v>
      </c>
      <c r="B53" s="26" t="s">
        <v>615</v>
      </c>
      <c r="C53" s="26"/>
      <c r="D53" s="26"/>
      <c r="E53" s="26"/>
      <c r="F53" s="26"/>
    </row>
    <row r="55" spans="1:6" x14ac:dyDescent="0.3">
      <c r="A55" s="5" t="s">
        <v>50</v>
      </c>
      <c r="B55" s="6"/>
      <c r="C55" s="6"/>
      <c r="D55" s="6"/>
      <c r="E55" s="6"/>
      <c r="F55" s="6"/>
    </row>
    <row r="56" spans="1:6" ht="27.75" customHeight="1" x14ac:dyDescent="0.3">
      <c r="A56" s="25" t="s">
        <v>616</v>
      </c>
      <c r="B56" s="25"/>
      <c r="C56" s="25"/>
      <c r="D56" s="25"/>
      <c r="E56" s="25"/>
      <c r="F56" s="25"/>
    </row>
    <row r="57" spans="1:6" ht="27.75" customHeight="1" x14ac:dyDescent="0.3">
      <c r="A57" s="25" t="s">
        <v>617</v>
      </c>
      <c r="B57" s="25"/>
      <c r="C57" s="25"/>
      <c r="D57" s="25"/>
      <c r="E57" s="25"/>
      <c r="F57" s="25"/>
    </row>
    <row r="58" spans="1:6" ht="27.75" customHeight="1" x14ac:dyDescent="0.3">
      <c r="A58" s="25" t="s">
        <v>51</v>
      </c>
      <c r="B58" s="25"/>
      <c r="C58" s="25"/>
      <c r="D58" s="25"/>
      <c r="E58" s="25"/>
      <c r="F58" s="25"/>
    </row>
    <row r="59" spans="1:6" ht="27.75" customHeight="1" x14ac:dyDescent="0.3">
      <c r="A59" s="25" t="s">
        <v>618</v>
      </c>
      <c r="B59" s="25"/>
      <c r="C59" s="25"/>
      <c r="D59" s="25"/>
      <c r="E59" s="25"/>
      <c r="F59" s="25"/>
    </row>
    <row r="60" spans="1:6" ht="27.75" customHeight="1" x14ac:dyDescent="0.3">
      <c r="A60" s="25" t="s">
        <v>619</v>
      </c>
      <c r="B60" s="25"/>
      <c r="C60" s="25"/>
      <c r="D60" s="25"/>
      <c r="E60" s="25"/>
      <c r="F60" s="25"/>
    </row>
  </sheetData>
  <mergeCells count="32">
    <mergeCell ref="A2:F2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7:D17"/>
    <mergeCell ref="B18:D18"/>
    <mergeCell ref="B19:D19"/>
    <mergeCell ref="B20:D20"/>
    <mergeCell ref="B21:D21"/>
    <mergeCell ref="B22:D22"/>
    <mergeCell ref="B42:F42"/>
    <mergeCell ref="B43:F43"/>
    <mergeCell ref="B44:F44"/>
    <mergeCell ref="B45:F45"/>
    <mergeCell ref="B46:F46"/>
    <mergeCell ref="B47:F47"/>
    <mergeCell ref="B50:F50"/>
    <mergeCell ref="B51:F51"/>
    <mergeCell ref="A59:F59"/>
    <mergeCell ref="A60:F60"/>
    <mergeCell ref="B52:F52"/>
    <mergeCell ref="B53:F53"/>
    <mergeCell ref="A56:F56"/>
    <mergeCell ref="A57:F57"/>
    <mergeCell ref="A58:F58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43"/>
  <sheetViews>
    <sheetView zoomScaleNormal="100" workbookViewId="0">
      <pane xSplit="8" ySplit="4" topLeftCell="I5" activePane="bottomRight" state="frozen"/>
      <selection pane="topRight" activeCell="I1" sqref="I1"/>
      <selection pane="bottomLeft" activeCell="A5" sqref="A5"/>
      <selection pane="bottomRight"/>
    </sheetView>
  </sheetViews>
  <sheetFormatPr defaultColWidth="8.6640625" defaultRowHeight="14.4" x14ac:dyDescent="0.3"/>
  <cols>
    <col min="1" max="1" width="5" customWidth="1"/>
    <col min="2" max="2" width="7" customWidth="1"/>
    <col min="3" max="3" width="6" customWidth="1"/>
    <col min="4" max="4" width="11" customWidth="1"/>
    <col min="5" max="6" width="7" customWidth="1"/>
    <col min="7" max="7" width="12" customWidth="1"/>
    <col min="8" max="8" width="36" customWidth="1"/>
    <col min="9" max="9" width="9" customWidth="1"/>
    <col min="10" max="10" width="17" customWidth="1"/>
    <col min="11" max="11" width="18" customWidth="1"/>
    <col min="12" max="12" width="38" customWidth="1"/>
    <col min="13" max="13" width="40" customWidth="1"/>
    <col min="14" max="14" width="20" customWidth="1"/>
    <col min="15" max="15" width="10" customWidth="1"/>
    <col min="16" max="16" width="15" customWidth="1"/>
    <col min="17" max="19" width="20" customWidth="1"/>
    <col min="20" max="20" width="12" customWidth="1"/>
    <col min="21" max="21" width="11" customWidth="1"/>
    <col min="22" max="22" width="12" customWidth="1"/>
    <col min="23" max="23" width="10" customWidth="1"/>
    <col min="24" max="24" width="11" customWidth="1"/>
    <col min="25" max="25" width="18" customWidth="1"/>
    <col min="26" max="26" width="24" customWidth="1"/>
    <col min="27" max="27" width="28" customWidth="1"/>
  </cols>
  <sheetData>
    <row r="1" spans="1:27" ht="17.399999999999999" x14ac:dyDescent="0.3">
      <c r="A1" s="4" t="s">
        <v>620</v>
      </c>
    </row>
    <row r="2" spans="1:27" ht="30" customHeight="1" x14ac:dyDescent="0.3">
      <c r="A2" s="28" t="s">
        <v>621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4" spans="1:27" ht="42" customHeight="1" x14ac:dyDescent="0.3">
      <c r="A4" s="2" t="s">
        <v>52</v>
      </c>
      <c r="B4" s="2" t="s">
        <v>53</v>
      </c>
      <c r="C4" s="2" t="s">
        <v>26</v>
      </c>
      <c r="D4" s="2" t="s">
        <v>54</v>
      </c>
      <c r="E4" s="2" t="s">
        <v>55</v>
      </c>
      <c r="F4" s="2" t="s">
        <v>56</v>
      </c>
      <c r="G4" s="2" t="s">
        <v>5</v>
      </c>
      <c r="H4" s="2" t="s">
        <v>57</v>
      </c>
      <c r="I4" s="2" t="s">
        <v>385</v>
      </c>
      <c r="J4" s="2" t="s">
        <v>15</v>
      </c>
      <c r="K4" s="2" t="s">
        <v>58</v>
      </c>
      <c r="L4" s="2" t="s">
        <v>59</v>
      </c>
      <c r="M4" s="2" t="s">
        <v>60</v>
      </c>
      <c r="N4" s="2" t="s">
        <v>61</v>
      </c>
      <c r="O4" s="2" t="s">
        <v>62</v>
      </c>
      <c r="P4" s="2" t="s">
        <v>63</v>
      </c>
      <c r="Q4" s="2" t="s">
        <v>64</v>
      </c>
      <c r="R4" s="2" t="s">
        <v>65</v>
      </c>
      <c r="S4" s="2" t="s">
        <v>66</v>
      </c>
      <c r="T4" s="2" t="s">
        <v>67</v>
      </c>
      <c r="U4" s="2" t="s">
        <v>68</v>
      </c>
      <c r="V4" s="2" t="s">
        <v>69</v>
      </c>
      <c r="W4" s="2" t="s">
        <v>70</v>
      </c>
      <c r="X4" s="2" t="s">
        <v>71</v>
      </c>
      <c r="Y4" s="2" t="s">
        <v>72</v>
      </c>
      <c r="Z4" s="2" t="s">
        <v>73</v>
      </c>
      <c r="AA4" s="2" t="s">
        <v>74</v>
      </c>
    </row>
    <row r="5" spans="1:27" ht="30.75" customHeight="1" x14ac:dyDescent="0.3">
      <c r="A5" s="7">
        <v>1</v>
      </c>
      <c r="B5" s="7" t="s">
        <v>75</v>
      </c>
      <c r="C5" s="7">
        <f>MATCH(D5,Tong_quan!$B$27:$B$39,1)</f>
        <v>1</v>
      </c>
      <c r="D5" s="12">
        <f>DATE(2026,10,7)</f>
        <v>46302</v>
      </c>
      <c r="E5" s="7" t="str">
        <f t="shared" ref="E5:E43" si="0">CHOOSE(WEEKDAY(D5),"CN","Thứ 2","Thứ 3","Thứ 4","Thứ 5","Thứ 6","Thứ 7")</f>
        <v>Thứ 4</v>
      </c>
      <c r="F5" s="23" t="s">
        <v>76</v>
      </c>
      <c r="G5" s="7" t="s">
        <v>77</v>
      </c>
      <c r="H5" s="1" t="s">
        <v>422</v>
      </c>
      <c r="I5" s="7" t="str">
        <f>INDEX(Tong_quan!$D$27:$D$39,C5)</f>
        <v>Khởi động</v>
      </c>
      <c r="J5" s="3" t="s">
        <v>20</v>
      </c>
      <c r="K5" s="3" t="s">
        <v>78</v>
      </c>
      <c r="L5" s="3" t="s">
        <v>423</v>
      </c>
      <c r="M5" s="3" t="s">
        <v>79</v>
      </c>
      <c r="N5" s="3" t="s">
        <v>80</v>
      </c>
      <c r="O5" s="7" t="s">
        <v>81</v>
      </c>
      <c r="P5" s="3" t="s">
        <v>424</v>
      </c>
      <c r="Q5" s="3" t="s">
        <v>425</v>
      </c>
      <c r="R5" s="3" t="s">
        <v>426</v>
      </c>
      <c r="S5" s="3" t="s">
        <v>426</v>
      </c>
      <c r="T5" s="12">
        <f t="shared" ref="T5:T43" si="1">WORKDAY(D5,-2)</f>
        <v>46300</v>
      </c>
      <c r="U5" s="12">
        <f t="shared" ref="U5:U43" si="2">WORKDAY(D5,-1)</f>
        <v>46301</v>
      </c>
      <c r="V5" s="16"/>
      <c r="W5" s="7" t="str">
        <f t="shared" ref="W5:W43" si="3">IF(V5="","",IF(V5&lt;=U5,"Đúng hạn","Trễ"))</f>
        <v/>
      </c>
      <c r="X5" s="17"/>
      <c r="Y5" s="17" t="s">
        <v>82</v>
      </c>
      <c r="Z5" s="18"/>
      <c r="AA5" s="18"/>
    </row>
    <row r="6" spans="1:27" ht="30.75" customHeight="1" x14ac:dyDescent="0.3">
      <c r="A6" s="7">
        <v>2</v>
      </c>
      <c r="B6" s="7" t="s">
        <v>83</v>
      </c>
      <c r="C6" s="7">
        <f>MATCH(D6,Tong_quan!$B$27:$B$39,1)</f>
        <v>1</v>
      </c>
      <c r="D6" s="12">
        <f>DATE(2026,10,8)</f>
        <v>46303</v>
      </c>
      <c r="E6" s="7" t="str">
        <f t="shared" si="0"/>
        <v>Thứ 5</v>
      </c>
      <c r="F6" s="23" t="s">
        <v>84</v>
      </c>
      <c r="G6" s="7" t="s">
        <v>85</v>
      </c>
      <c r="H6" s="1" t="s">
        <v>427</v>
      </c>
      <c r="I6" s="7" t="str">
        <f>INDEX(Tong_quan!$D$27:$D$39,C6)</f>
        <v>Khởi động</v>
      </c>
      <c r="J6" s="3" t="s">
        <v>20</v>
      </c>
      <c r="K6" s="3" t="s">
        <v>86</v>
      </c>
      <c r="L6" s="3" t="s">
        <v>428</v>
      </c>
      <c r="M6" s="3" t="s">
        <v>87</v>
      </c>
      <c r="N6" s="3" t="s">
        <v>80</v>
      </c>
      <c r="O6" s="7" t="s">
        <v>88</v>
      </c>
      <c r="P6" s="3" t="s">
        <v>429</v>
      </c>
      <c r="Q6" s="3" t="s">
        <v>425</v>
      </c>
      <c r="R6" s="3" t="s">
        <v>426</v>
      </c>
      <c r="S6" s="3" t="s">
        <v>426</v>
      </c>
      <c r="T6" s="12">
        <f t="shared" si="1"/>
        <v>46301</v>
      </c>
      <c r="U6" s="12">
        <f t="shared" si="2"/>
        <v>46302</v>
      </c>
      <c r="V6" s="16"/>
      <c r="W6" s="7" t="str">
        <f t="shared" si="3"/>
        <v/>
      </c>
      <c r="X6" s="17"/>
      <c r="Y6" s="17" t="s">
        <v>82</v>
      </c>
      <c r="Z6" s="18"/>
      <c r="AA6" s="18"/>
    </row>
    <row r="7" spans="1:27" ht="43.5" customHeight="1" x14ac:dyDescent="0.3">
      <c r="A7" s="7">
        <v>3</v>
      </c>
      <c r="B7" s="7" t="s">
        <v>89</v>
      </c>
      <c r="C7" s="7">
        <f>MATCH(D7,Tong_quan!$B$27:$B$39,1)</f>
        <v>1</v>
      </c>
      <c r="D7" s="12">
        <f>DATE(2026,10,9)</f>
        <v>46304</v>
      </c>
      <c r="E7" s="7" t="str">
        <f t="shared" si="0"/>
        <v>Thứ 6</v>
      </c>
      <c r="F7" s="23" t="s">
        <v>90</v>
      </c>
      <c r="G7" s="7" t="s">
        <v>91</v>
      </c>
      <c r="H7" s="1" t="s">
        <v>430</v>
      </c>
      <c r="I7" s="7" t="str">
        <f>INDEX(Tong_quan!$D$27:$D$39,C7)</f>
        <v>Khởi động</v>
      </c>
      <c r="J7" s="3" t="s">
        <v>20</v>
      </c>
      <c r="K7" s="3" t="s">
        <v>92</v>
      </c>
      <c r="L7" s="3" t="s">
        <v>93</v>
      </c>
      <c r="M7" s="3" t="s">
        <v>94</v>
      </c>
      <c r="N7" s="3" t="s">
        <v>95</v>
      </c>
      <c r="O7" s="7" t="s">
        <v>96</v>
      </c>
      <c r="P7" s="3" t="s">
        <v>431</v>
      </c>
      <c r="Q7" s="3" t="s">
        <v>432</v>
      </c>
      <c r="R7" s="3" t="s">
        <v>426</v>
      </c>
      <c r="S7" s="3" t="s">
        <v>425</v>
      </c>
      <c r="T7" s="12">
        <f t="shared" si="1"/>
        <v>46302</v>
      </c>
      <c r="U7" s="12">
        <f t="shared" si="2"/>
        <v>46303</v>
      </c>
      <c r="V7" s="16"/>
      <c r="W7" s="7" t="str">
        <f t="shared" si="3"/>
        <v/>
      </c>
      <c r="X7" s="17"/>
      <c r="Y7" s="17" t="s">
        <v>82</v>
      </c>
      <c r="Z7" s="18"/>
      <c r="AA7" s="18" t="s">
        <v>97</v>
      </c>
    </row>
    <row r="8" spans="1:27" ht="43.5" customHeight="1" x14ac:dyDescent="0.3">
      <c r="A8" s="7">
        <v>4</v>
      </c>
      <c r="B8" s="7" t="s">
        <v>98</v>
      </c>
      <c r="C8" s="7">
        <f>MATCH(D8,Tong_quan!$B$27:$B$39,1)</f>
        <v>2</v>
      </c>
      <c r="D8" s="12">
        <f>DATE(2026,10,13)</f>
        <v>46308</v>
      </c>
      <c r="E8" s="7" t="str">
        <f t="shared" si="0"/>
        <v>Thứ 3</v>
      </c>
      <c r="F8" s="23" t="s">
        <v>76</v>
      </c>
      <c r="G8" s="7" t="s">
        <v>77</v>
      </c>
      <c r="H8" s="1" t="s">
        <v>433</v>
      </c>
      <c r="I8" s="7" t="str">
        <f>INDEX(Tong_quan!$D$27:$D$39,C8)</f>
        <v>Phân tích</v>
      </c>
      <c r="J8" s="3" t="s">
        <v>22</v>
      </c>
      <c r="K8" s="3" t="s">
        <v>99</v>
      </c>
      <c r="L8" s="3" t="s">
        <v>434</v>
      </c>
      <c r="M8" s="3" t="s">
        <v>435</v>
      </c>
      <c r="N8" s="3" t="s">
        <v>80</v>
      </c>
      <c r="O8" s="7" t="s">
        <v>100</v>
      </c>
      <c r="P8" s="3" t="s">
        <v>436</v>
      </c>
      <c r="Q8" s="3" t="s">
        <v>426</v>
      </c>
      <c r="R8" s="3" t="s">
        <v>432</v>
      </c>
      <c r="S8" s="3" t="s">
        <v>425</v>
      </c>
      <c r="T8" s="12">
        <f t="shared" si="1"/>
        <v>46304</v>
      </c>
      <c r="U8" s="12">
        <f t="shared" si="2"/>
        <v>46307</v>
      </c>
      <c r="V8" s="16"/>
      <c r="W8" s="7" t="str">
        <f t="shared" si="3"/>
        <v/>
      </c>
      <c r="X8" s="17"/>
      <c r="Y8" s="17" t="s">
        <v>82</v>
      </c>
      <c r="Z8" s="18"/>
      <c r="AA8" s="18" t="s">
        <v>437</v>
      </c>
    </row>
    <row r="9" spans="1:27" ht="43.5" customHeight="1" x14ac:dyDescent="0.3">
      <c r="A9" s="7">
        <v>5</v>
      </c>
      <c r="B9" s="7" t="s">
        <v>102</v>
      </c>
      <c r="C9" s="7">
        <f>MATCH(D9,Tong_quan!$B$27:$B$39,1)</f>
        <v>2</v>
      </c>
      <c r="D9" s="12">
        <f>DATE(2026,10,15)</f>
        <v>46310</v>
      </c>
      <c r="E9" s="7" t="str">
        <f t="shared" si="0"/>
        <v>Thứ 5</v>
      </c>
      <c r="F9" s="23" t="s">
        <v>90</v>
      </c>
      <c r="G9" s="7" t="s">
        <v>91</v>
      </c>
      <c r="H9" s="1" t="s">
        <v>438</v>
      </c>
      <c r="I9" s="7" t="str">
        <f>INDEX(Tong_quan!$D$27:$D$39,C9)</f>
        <v>Phân tích</v>
      </c>
      <c r="J9" s="3" t="s">
        <v>22</v>
      </c>
      <c r="K9" s="3" t="s">
        <v>92</v>
      </c>
      <c r="L9" s="3" t="s">
        <v>439</v>
      </c>
      <c r="M9" s="3" t="s">
        <v>440</v>
      </c>
      <c r="N9" s="3" t="s">
        <v>95</v>
      </c>
      <c r="O9" s="7" t="s">
        <v>96</v>
      </c>
      <c r="P9" s="3" t="s">
        <v>441</v>
      </c>
      <c r="Q9" s="3" t="s">
        <v>426</v>
      </c>
      <c r="R9" s="3" t="s">
        <v>432</v>
      </c>
      <c r="S9" s="3" t="s">
        <v>425</v>
      </c>
      <c r="T9" s="12">
        <f t="shared" si="1"/>
        <v>46308</v>
      </c>
      <c r="U9" s="12">
        <f t="shared" si="2"/>
        <v>46309</v>
      </c>
      <c r="V9" s="16"/>
      <c r="W9" s="7" t="str">
        <f t="shared" si="3"/>
        <v/>
      </c>
      <c r="X9" s="17"/>
      <c r="Y9" s="17" t="s">
        <v>82</v>
      </c>
      <c r="Z9" s="18"/>
      <c r="AA9" s="18" t="s">
        <v>442</v>
      </c>
    </row>
    <row r="10" spans="1:27" ht="30.75" customHeight="1" x14ac:dyDescent="0.3">
      <c r="A10" s="7">
        <v>6</v>
      </c>
      <c r="B10" s="7" t="s">
        <v>103</v>
      </c>
      <c r="C10" s="7">
        <f>MATCH(D10,Tong_quan!$B$27:$B$39,1)</f>
        <v>2</v>
      </c>
      <c r="D10" s="12">
        <f>DATE(2026,10,16)</f>
        <v>46311</v>
      </c>
      <c r="E10" s="7" t="str">
        <f t="shared" si="0"/>
        <v>Thứ 6</v>
      </c>
      <c r="F10" s="23" t="s">
        <v>84</v>
      </c>
      <c r="G10" s="7" t="s">
        <v>85</v>
      </c>
      <c r="H10" s="1" t="s">
        <v>443</v>
      </c>
      <c r="I10" s="7" t="str">
        <f>INDEX(Tong_quan!$D$27:$D$39,C10)</f>
        <v>Phân tích</v>
      </c>
      <c r="J10" s="3" t="s">
        <v>23</v>
      </c>
      <c r="K10" s="3" t="s">
        <v>444</v>
      </c>
      <c r="L10" s="3" t="s">
        <v>445</v>
      </c>
      <c r="M10" s="3" t="s">
        <v>446</v>
      </c>
      <c r="N10" s="3" t="s">
        <v>104</v>
      </c>
      <c r="O10" s="7" t="s">
        <v>125</v>
      </c>
      <c r="P10" s="3" t="s">
        <v>447</v>
      </c>
      <c r="Q10" s="3" t="s">
        <v>448</v>
      </c>
      <c r="R10" s="3" t="s">
        <v>432</v>
      </c>
      <c r="S10" s="3" t="s">
        <v>425</v>
      </c>
      <c r="T10" s="12">
        <f t="shared" si="1"/>
        <v>46309</v>
      </c>
      <c r="U10" s="12">
        <f t="shared" si="2"/>
        <v>46310</v>
      </c>
      <c r="V10" s="16"/>
      <c r="W10" s="7" t="str">
        <f t="shared" si="3"/>
        <v/>
      </c>
      <c r="X10" s="17"/>
      <c r="Y10" s="17" t="s">
        <v>82</v>
      </c>
      <c r="Z10" s="18"/>
      <c r="AA10" s="18"/>
    </row>
    <row r="11" spans="1:27" ht="30.75" customHeight="1" x14ac:dyDescent="0.3">
      <c r="A11" s="7">
        <v>7</v>
      </c>
      <c r="B11" s="7" t="s">
        <v>101</v>
      </c>
      <c r="C11" s="7">
        <f>MATCH(D11,Tong_quan!$B$27:$B$39,1)</f>
        <v>3</v>
      </c>
      <c r="D11" s="12">
        <f>DATE(2026,10,20)</f>
        <v>46315</v>
      </c>
      <c r="E11" s="7" t="str">
        <f t="shared" si="0"/>
        <v>Thứ 3</v>
      </c>
      <c r="F11" s="23" t="s">
        <v>76</v>
      </c>
      <c r="G11" s="7" t="s">
        <v>77</v>
      </c>
      <c r="H11" s="1" t="s">
        <v>449</v>
      </c>
      <c r="I11" s="7" t="str">
        <f>INDEX(Tong_quan!$D$27:$D$39,C11)</f>
        <v>Phân tích</v>
      </c>
      <c r="J11" s="3" t="s">
        <v>22</v>
      </c>
      <c r="K11" s="3" t="s">
        <v>450</v>
      </c>
      <c r="L11" s="3" t="s">
        <v>451</v>
      </c>
      <c r="M11" s="3" t="s">
        <v>452</v>
      </c>
      <c r="N11" s="3" t="s">
        <v>80</v>
      </c>
      <c r="O11" s="7" t="s">
        <v>453</v>
      </c>
      <c r="P11" s="3" t="s">
        <v>441</v>
      </c>
      <c r="Q11" s="3" t="s">
        <v>426</v>
      </c>
      <c r="R11" s="3" t="s">
        <v>432</v>
      </c>
      <c r="S11" s="3" t="s">
        <v>425</v>
      </c>
      <c r="T11" s="12">
        <f t="shared" si="1"/>
        <v>46311</v>
      </c>
      <c r="U11" s="12">
        <f t="shared" si="2"/>
        <v>46314</v>
      </c>
      <c r="V11" s="16"/>
      <c r="W11" s="7" t="str">
        <f t="shared" si="3"/>
        <v/>
      </c>
      <c r="X11" s="17"/>
      <c r="Y11" s="17" t="s">
        <v>82</v>
      </c>
      <c r="Z11" s="18"/>
      <c r="AA11" s="18"/>
    </row>
    <row r="12" spans="1:27" ht="43.5" customHeight="1" x14ac:dyDescent="0.3">
      <c r="A12" s="7">
        <v>8</v>
      </c>
      <c r="B12" s="7" t="s">
        <v>111</v>
      </c>
      <c r="C12" s="7">
        <f>MATCH(D12,Tong_quan!$B$27:$B$39,1)</f>
        <v>3</v>
      </c>
      <c r="D12" s="12">
        <f>DATE(2026,10,21)</f>
        <v>46316</v>
      </c>
      <c r="E12" s="7" t="str">
        <f t="shared" si="0"/>
        <v>Thứ 4</v>
      </c>
      <c r="F12" s="23" t="s">
        <v>84</v>
      </c>
      <c r="G12" s="7" t="s">
        <v>85</v>
      </c>
      <c r="H12" s="1" t="s">
        <v>454</v>
      </c>
      <c r="I12" s="7" t="str">
        <f>INDEX(Tong_quan!$D$27:$D$39,C12)</f>
        <v>Phân tích</v>
      </c>
      <c r="J12" s="3" t="s">
        <v>23</v>
      </c>
      <c r="K12" s="3" t="s">
        <v>455</v>
      </c>
      <c r="L12" s="3" t="s">
        <v>456</v>
      </c>
      <c r="M12" s="3" t="s">
        <v>457</v>
      </c>
      <c r="N12" s="3" t="s">
        <v>104</v>
      </c>
      <c r="O12" s="7" t="s">
        <v>125</v>
      </c>
      <c r="P12" s="3" t="s">
        <v>458</v>
      </c>
      <c r="Q12" s="3" t="s">
        <v>432</v>
      </c>
      <c r="R12" s="3" t="s">
        <v>426</v>
      </c>
      <c r="S12" s="3" t="s">
        <v>425</v>
      </c>
      <c r="T12" s="12">
        <f t="shared" si="1"/>
        <v>46314</v>
      </c>
      <c r="U12" s="12">
        <f t="shared" si="2"/>
        <v>46315</v>
      </c>
      <c r="V12" s="16"/>
      <c r="W12" s="7" t="str">
        <f t="shared" si="3"/>
        <v/>
      </c>
      <c r="X12" s="17"/>
      <c r="Y12" s="17" t="s">
        <v>82</v>
      </c>
      <c r="Z12" s="18"/>
      <c r="AA12" s="18"/>
    </row>
    <row r="13" spans="1:27" ht="30.75" customHeight="1" x14ac:dyDescent="0.3">
      <c r="A13" s="7">
        <v>9</v>
      </c>
      <c r="B13" s="7" t="s">
        <v>114</v>
      </c>
      <c r="C13" s="7">
        <f>MATCH(D13,Tong_quan!$B$27:$B$39,1)</f>
        <v>3</v>
      </c>
      <c r="D13" s="12">
        <f>DATE(2026,10,22)</f>
        <v>46317</v>
      </c>
      <c r="E13" s="7" t="str">
        <f t="shared" si="0"/>
        <v>Thứ 5</v>
      </c>
      <c r="F13" s="23" t="s">
        <v>90</v>
      </c>
      <c r="G13" s="7" t="s">
        <v>91</v>
      </c>
      <c r="H13" s="1" t="s">
        <v>459</v>
      </c>
      <c r="I13" s="7" t="str">
        <f>INDEX(Tong_quan!$D$27:$D$39,C13)</f>
        <v>Phân tích</v>
      </c>
      <c r="J13" s="3" t="s">
        <v>23</v>
      </c>
      <c r="K13" s="3" t="s">
        <v>460</v>
      </c>
      <c r="L13" s="3" t="s">
        <v>461</v>
      </c>
      <c r="M13" s="3" t="s">
        <v>462</v>
      </c>
      <c r="N13" s="3" t="s">
        <v>95</v>
      </c>
      <c r="O13" s="7" t="s">
        <v>96</v>
      </c>
      <c r="P13" s="3" t="s">
        <v>463</v>
      </c>
      <c r="Q13" s="3" t="s">
        <v>464</v>
      </c>
      <c r="R13" s="3" t="s">
        <v>432</v>
      </c>
      <c r="S13" s="3" t="s">
        <v>425</v>
      </c>
      <c r="T13" s="12">
        <f t="shared" si="1"/>
        <v>46315</v>
      </c>
      <c r="U13" s="12">
        <f t="shared" si="2"/>
        <v>46316</v>
      </c>
      <c r="V13" s="16"/>
      <c r="W13" s="7" t="str">
        <f t="shared" si="3"/>
        <v/>
      </c>
      <c r="X13" s="17"/>
      <c r="Y13" s="17" t="s">
        <v>82</v>
      </c>
      <c r="Z13" s="18"/>
      <c r="AA13" s="18" t="s">
        <v>465</v>
      </c>
    </row>
    <row r="14" spans="1:27" ht="43.5" customHeight="1" x14ac:dyDescent="0.3">
      <c r="A14" s="7">
        <v>10</v>
      </c>
      <c r="B14" s="7" t="s">
        <v>109</v>
      </c>
      <c r="C14" s="7">
        <f>MATCH(D14,Tong_quan!$B$27:$B$39,1)</f>
        <v>4</v>
      </c>
      <c r="D14" s="12">
        <f>DATE(2026,10,27)</f>
        <v>46322</v>
      </c>
      <c r="E14" s="7" t="str">
        <f t="shared" si="0"/>
        <v>Thứ 3</v>
      </c>
      <c r="F14" s="23" t="s">
        <v>76</v>
      </c>
      <c r="G14" s="7" t="s">
        <v>77</v>
      </c>
      <c r="H14" s="1" t="s">
        <v>466</v>
      </c>
      <c r="I14" s="7" t="str">
        <f>INDEX(Tong_quan!$D$27:$D$39,C14)</f>
        <v>Phân tích / Thiết kế</v>
      </c>
      <c r="J14" s="3" t="s">
        <v>22</v>
      </c>
      <c r="K14" s="3" t="s">
        <v>99</v>
      </c>
      <c r="L14" s="3" t="s">
        <v>467</v>
      </c>
      <c r="M14" s="3" t="s">
        <v>468</v>
      </c>
      <c r="N14" s="3" t="s">
        <v>80</v>
      </c>
      <c r="O14" s="7" t="s">
        <v>113</v>
      </c>
      <c r="P14" s="3" t="s">
        <v>469</v>
      </c>
      <c r="Q14" s="3" t="s">
        <v>426</v>
      </c>
      <c r="R14" s="3" t="s">
        <v>432</v>
      </c>
      <c r="S14" s="3" t="s">
        <v>425</v>
      </c>
      <c r="T14" s="12">
        <f t="shared" si="1"/>
        <v>46318</v>
      </c>
      <c r="U14" s="12">
        <f t="shared" si="2"/>
        <v>46321</v>
      </c>
      <c r="V14" s="16"/>
      <c r="W14" s="7" t="str">
        <f t="shared" si="3"/>
        <v/>
      </c>
      <c r="X14" s="17"/>
      <c r="Y14" s="17" t="s">
        <v>82</v>
      </c>
      <c r="Z14" s="18"/>
      <c r="AA14" s="18"/>
    </row>
    <row r="15" spans="1:27" ht="30.75" customHeight="1" x14ac:dyDescent="0.3">
      <c r="A15" s="7">
        <v>11</v>
      </c>
      <c r="B15" s="7" t="s">
        <v>112</v>
      </c>
      <c r="C15" s="7">
        <f>MATCH(D15,Tong_quan!$B$27:$B$39,1)</f>
        <v>4</v>
      </c>
      <c r="D15" s="12">
        <f>DATE(2026,10,29)</f>
        <v>46324</v>
      </c>
      <c r="E15" s="7" t="str">
        <f t="shared" si="0"/>
        <v>Thứ 5</v>
      </c>
      <c r="F15" s="23" t="s">
        <v>76</v>
      </c>
      <c r="G15" s="7" t="s">
        <v>77</v>
      </c>
      <c r="H15" s="1" t="s">
        <v>470</v>
      </c>
      <c r="I15" s="7" t="str">
        <f>INDEX(Tong_quan!$D$27:$D$39,C15)</f>
        <v>Phân tích / Thiết kế</v>
      </c>
      <c r="J15" s="3" t="s">
        <v>20</v>
      </c>
      <c r="K15" s="3" t="s">
        <v>471</v>
      </c>
      <c r="L15" s="3" t="s">
        <v>472</v>
      </c>
      <c r="M15" s="3" t="s">
        <v>473</v>
      </c>
      <c r="N15" s="3" t="s">
        <v>80</v>
      </c>
      <c r="O15" s="7" t="s">
        <v>474</v>
      </c>
      <c r="P15" s="3" t="s">
        <v>475</v>
      </c>
      <c r="Q15" s="3" t="s">
        <v>426</v>
      </c>
      <c r="R15" s="3" t="s">
        <v>432</v>
      </c>
      <c r="S15" s="3" t="s">
        <v>425</v>
      </c>
      <c r="T15" s="12">
        <f t="shared" si="1"/>
        <v>46322</v>
      </c>
      <c r="U15" s="12">
        <f t="shared" si="2"/>
        <v>46323</v>
      </c>
      <c r="V15" s="16"/>
      <c r="W15" s="7" t="str">
        <f t="shared" si="3"/>
        <v/>
      </c>
      <c r="X15" s="17"/>
      <c r="Y15" s="17" t="s">
        <v>82</v>
      </c>
      <c r="Z15" s="18"/>
      <c r="AA15" s="18"/>
    </row>
    <row r="16" spans="1:27" ht="30.75" customHeight="1" x14ac:dyDescent="0.3">
      <c r="A16" s="7">
        <v>12</v>
      </c>
      <c r="B16" s="7" t="s">
        <v>105</v>
      </c>
      <c r="C16" s="7">
        <f>MATCH(D16,Tong_quan!$B$27:$B$39,1)</f>
        <v>4</v>
      </c>
      <c r="D16" s="12">
        <f>DATE(2026,10,30)</f>
        <v>46325</v>
      </c>
      <c r="E16" s="7" t="str">
        <f t="shared" si="0"/>
        <v>Thứ 6</v>
      </c>
      <c r="F16" s="23" t="s">
        <v>106</v>
      </c>
      <c r="G16" s="7" t="s">
        <v>107</v>
      </c>
      <c r="H16" s="1" t="s">
        <v>476</v>
      </c>
      <c r="I16" s="7" t="str">
        <f>INDEX(Tong_quan!$D$27:$D$39,C16)</f>
        <v>Phân tích / Thiết kế</v>
      </c>
      <c r="J16" s="3" t="s">
        <v>24</v>
      </c>
      <c r="K16" s="3" t="s">
        <v>477</v>
      </c>
      <c r="L16" s="3" t="s">
        <v>478</v>
      </c>
      <c r="M16" s="3" t="s">
        <v>479</v>
      </c>
      <c r="N16" s="3" t="s">
        <v>95</v>
      </c>
      <c r="O16" s="7" t="s">
        <v>108</v>
      </c>
      <c r="P16" s="3" t="s">
        <v>480</v>
      </c>
      <c r="Q16" s="3" t="s">
        <v>425</v>
      </c>
      <c r="R16" s="3" t="s">
        <v>426</v>
      </c>
      <c r="S16" s="3" t="s">
        <v>426</v>
      </c>
      <c r="T16" s="12">
        <f t="shared" si="1"/>
        <v>46323</v>
      </c>
      <c r="U16" s="12">
        <f t="shared" si="2"/>
        <v>46324</v>
      </c>
      <c r="V16" s="16"/>
      <c r="W16" s="7" t="str">
        <f t="shared" si="3"/>
        <v/>
      </c>
      <c r="X16" s="17"/>
      <c r="Y16" s="17" t="s">
        <v>82</v>
      </c>
      <c r="Z16" s="18"/>
      <c r="AA16" s="18"/>
    </row>
    <row r="17" spans="1:27" ht="30.75" customHeight="1" x14ac:dyDescent="0.3">
      <c r="A17" s="7">
        <v>13</v>
      </c>
      <c r="B17" s="7" t="s">
        <v>117</v>
      </c>
      <c r="C17" s="7">
        <f>MATCH(D17,Tong_quan!$B$27:$B$39,1)</f>
        <v>5</v>
      </c>
      <c r="D17" s="12">
        <f>DATE(2026,11,3)</f>
        <v>46329</v>
      </c>
      <c r="E17" s="7" t="str">
        <f t="shared" si="0"/>
        <v>Thứ 3</v>
      </c>
      <c r="F17" s="23" t="s">
        <v>84</v>
      </c>
      <c r="G17" s="7" t="s">
        <v>85</v>
      </c>
      <c r="H17" s="1" t="s">
        <v>481</v>
      </c>
      <c r="I17" s="7" t="str">
        <f>INDEX(Tong_quan!$D$27:$D$39,C17)</f>
        <v>Thiết kế</v>
      </c>
      <c r="J17" s="3" t="s">
        <v>23</v>
      </c>
      <c r="K17" s="3" t="s">
        <v>482</v>
      </c>
      <c r="L17" s="3" t="s">
        <v>483</v>
      </c>
      <c r="M17" s="3" t="s">
        <v>484</v>
      </c>
      <c r="N17" s="3" t="s">
        <v>104</v>
      </c>
      <c r="O17" s="7" t="s">
        <v>125</v>
      </c>
      <c r="P17" s="3" t="s">
        <v>485</v>
      </c>
      <c r="Q17" s="3" t="s">
        <v>464</v>
      </c>
      <c r="R17" s="3" t="s">
        <v>432</v>
      </c>
      <c r="S17" s="3" t="s">
        <v>425</v>
      </c>
      <c r="T17" s="12">
        <f t="shared" si="1"/>
        <v>46325</v>
      </c>
      <c r="U17" s="12">
        <f t="shared" si="2"/>
        <v>46328</v>
      </c>
      <c r="V17" s="16"/>
      <c r="W17" s="7" t="str">
        <f t="shared" si="3"/>
        <v/>
      </c>
      <c r="X17" s="17"/>
      <c r="Y17" s="17" t="s">
        <v>82</v>
      </c>
      <c r="Z17" s="18"/>
      <c r="AA17" s="18"/>
    </row>
    <row r="18" spans="1:27" ht="30.75" customHeight="1" x14ac:dyDescent="0.3">
      <c r="A18" s="7">
        <v>14</v>
      </c>
      <c r="B18" s="7" t="s">
        <v>115</v>
      </c>
      <c r="C18" s="7">
        <f>MATCH(D18,Tong_quan!$B$27:$B$39,1)</f>
        <v>5</v>
      </c>
      <c r="D18" s="12">
        <f>DATE(2026,11,4)</f>
        <v>46330</v>
      </c>
      <c r="E18" s="7" t="str">
        <f t="shared" si="0"/>
        <v>Thứ 4</v>
      </c>
      <c r="F18" s="23" t="s">
        <v>76</v>
      </c>
      <c r="G18" s="7" t="s">
        <v>77</v>
      </c>
      <c r="H18" s="1" t="s">
        <v>486</v>
      </c>
      <c r="I18" s="7" t="str">
        <f>INDEX(Tong_quan!$D$27:$D$39,C18)</f>
        <v>Thiết kế</v>
      </c>
      <c r="J18" s="3" t="s">
        <v>21</v>
      </c>
      <c r="K18" s="3" t="s">
        <v>487</v>
      </c>
      <c r="L18" s="3" t="s">
        <v>488</v>
      </c>
      <c r="M18" s="3" t="s">
        <v>489</v>
      </c>
      <c r="N18" s="3" t="s">
        <v>80</v>
      </c>
      <c r="O18" s="7" t="s">
        <v>81</v>
      </c>
      <c r="P18" s="3" t="s">
        <v>490</v>
      </c>
      <c r="Q18" s="3" t="s">
        <v>448</v>
      </c>
      <c r="R18" s="3" t="s">
        <v>432</v>
      </c>
      <c r="S18" s="3" t="s">
        <v>425</v>
      </c>
      <c r="T18" s="12">
        <f t="shared" si="1"/>
        <v>46328</v>
      </c>
      <c r="U18" s="12">
        <f t="shared" si="2"/>
        <v>46329</v>
      </c>
      <c r="V18" s="16"/>
      <c r="W18" s="7" t="str">
        <f t="shared" si="3"/>
        <v/>
      </c>
      <c r="X18" s="17"/>
      <c r="Y18" s="17" t="s">
        <v>82</v>
      </c>
      <c r="Z18" s="18"/>
      <c r="AA18" s="18"/>
    </row>
    <row r="19" spans="1:27" ht="30.75" customHeight="1" x14ac:dyDescent="0.3">
      <c r="A19" s="7">
        <v>15</v>
      </c>
      <c r="B19" s="7" t="s">
        <v>119</v>
      </c>
      <c r="C19" s="7">
        <f>MATCH(D19,Tong_quan!$B$27:$B$39,1)</f>
        <v>5</v>
      </c>
      <c r="D19" s="12">
        <f>DATE(2026,11,6)</f>
        <v>46332</v>
      </c>
      <c r="E19" s="7" t="str">
        <f t="shared" si="0"/>
        <v>Thứ 6</v>
      </c>
      <c r="F19" s="23" t="s">
        <v>90</v>
      </c>
      <c r="G19" s="7" t="s">
        <v>91</v>
      </c>
      <c r="H19" s="1" t="s">
        <v>491</v>
      </c>
      <c r="I19" s="7" t="str">
        <f>INDEX(Tong_quan!$D$27:$D$39,C19)</f>
        <v>Thiết kế</v>
      </c>
      <c r="J19" s="3" t="s">
        <v>21</v>
      </c>
      <c r="K19" s="3" t="s">
        <v>92</v>
      </c>
      <c r="L19" s="3" t="s">
        <v>492</v>
      </c>
      <c r="M19" s="3" t="s">
        <v>493</v>
      </c>
      <c r="N19" s="3" t="s">
        <v>95</v>
      </c>
      <c r="O19" s="7" t="s">
        <v>96</v>
      </c>
      <c r="P19" s="3" t="s">
        <v>490</v>
      </c>
      <c r="Q19" s="3" t="s">
        <v>448</v>
      </c>
      <c r="R19" s="3" t="s">
        <v>432</v>
      </c>
      <c r="S19" s="3" t="s">
        <v>425</v>
      </c>
      <c r="T19" s="12">
        <f t="shared" si="1"/>
        <v>46330</v>
      </c>
      <c r="U19" s="12">
        <f t="shared" si="2"/>
        <v>46331</v>
      </c>
      <c r="V19" s="16"/>
      <c r="W19" s="7" t="str">
        <f t="shared" si="3"/>
        <v/>
      </c>
      <c r="X19" s="17"/>
      <c r="Y19" s="17" t="s">
        <v>82</v>
      </c>
      <c r="Z19" s="18"/>
      <c r="AA19" s="18"/>
    </row>
    <row r="20" spans="1:27" ht="30.75" customHeight="1" x14ac:dyDescent="0.3">
      <c r="A20" s="7">
        <v>16</v>
      </c>
      <c r="B20" s="7" t="s">
        <v>116</v>
      </c>
      <c r="C20" s="7">
        <f>MATCH(D20,Tong_quan!$B$27:$B$39,1)</f>
        <v>6</v>
      </c>
      <c r="D20" s="12">
        <f>DATE(2026,11,10)</f>
        <v>46336</v>
      </c>
      <c r="E20" s="7" t="str">
        <f t="shared" si="0"/>
        <v>Thứ 3</v>
      </c>
      <c r="F20" s="23" t="s">
        <v>76</v>
      </c>
      <c r="G20" s="7" t="s">
        <v>77</v>
      </c>
      <c r="H20" s="1" t="s">
        <v>494</v>
      </c>
      <c r="I20" s="7" t="str">
        <f>INDEX(Tong_quan!$D$27:$D$39,C20)</f>
        <v>Phát triển</v>
      </c>
      <c r="J20" s="3" t="s">
        <v>21</v>
      </c>
      <c r="K20" s="3" t="s">
        <v>99</v>
      </c>
      <c r="L20" s="3" t="s">
        <v>495</v>
      </c>
      <c r="M20" s="3" t="s">
        <v>496</v>
      </c>
      <c r="N20" s="3" t="s">
        <v>80</v>
      </c>
      <c r="O20" s="7" t="s">
        <v>113</v>
      </c>
      <c r="P20" s="3" t="s">
        <v>497</v>
      </c>
      <c r="Q20" s="3" t="s">
        <v>464</v>
      </c>
      <c r="R20" s="3" t="s">
        <v>432</v>
      </c>
      <c r="S20" s="3" t="s">
        <v>425</v>
      </c>
      <c r="T20" s="12">
        <f t="shared" si="1"/>
        <v>46332</v>
      </c>
      <c r="U20" s="12">
        <f t="shared" si="2"/>
        <v>46335</v>
      </c>
      <c r="V20" s="16"/>
      <c r="W20" s="7" t="str">
        <f t="shared" si="3"/>
        <v/>
      </c>
      <c r="X20" s="17"/>
      <c r="Y20" s="17" t="s">
        <v>82</v>
      </c>
      <c r="Z20" s="18"/>
      <c r="AA20" s="18"/>
    </row>
    <row r="21" spans="1:27" ht="43.5" customHeight="1" x14ac:dyDescent="0.3">
      <c r="A21" s="7">
        <v>17</v>
      </c>
      <c r="B21" s="7" t="s">
        <v>126</v>
      </c>
      <c r="C21" s="7">
        <f>MATCH(D21,Tong_quan!$B$27:$B$39,1)</f>
        <v>6</v>
      </c>
      <c r="D21" s="12">
        <f>DATE(2026,11,12)</f>
        <v>46338</v>
      </c>
      <c r="E21" s="7" t="str">
        <f t="shared" si="0"/>
        <v>Thứ 5</v>
      </c>
      <c r="F21" s="23" t="s">
        <v>90</v>
      </c>
      <c r="G21" s="7" t="s">
        <v>91</v>
      </c>
      <c r="H21" s="1" t="s">
        <v>498</v>
      </c>
      <c r="I21" s="7" t="str">
        <f>INDEX(Tong_quan!$D$27:$D$39,C21)</f>
        <v>Phát triển</v>
      </c>
      <c r="J21" s="3" t="s">
        <v>21</v>
      </c>
      <c r="K21" s="3" t="s">
        <v>499</v>
      </c>
      <c r="L21" s="3" t="s">
        <v>500</v>
      </c>
      <c r="M21" s="3" t="s">
        <v>501</v>
      </c>
      <c r="N21" s="3" t="s">
        <v>95</v>
      </c>
      <c r="O21" s="7" t="s">
        <v>96</v>
      </c>
      <c r="P21" s="3" t="s">
        <v>497</v>
      </c>
      <c r="Q21" s="3" t="s">
        <v>448</v>
      </c>
      <c r="R21" s="3" t="s">
        <v>432</v>
      </c>
      <c r="S21" s="3" t="s">
        <v>425</v>
      </c>
      <c r="T21" s="12">
        <f t="shared" si="1"/>
        <v>46336</v>
      </c>
      <c r="U21" s="12">
        <f t="shared" si="2"/>
        <v>46337</v>
      </c>
      <c r="V21" s="16"/>
      <c r="W21" s="7" t="str">
        <f t="shared" si="3"/>
        <v/>
      </c>
      <c r="X21" s="17"/>
      <c r="Y21" s="17" t="s">
        <v>82</v>
      </c>
      <c r="Z21" s="18"/>
      <c r="AA21" s="18" t="s">
        <v>502</v>
      </c>
    </row>
    <row r="22" spans="1:27" ht="30.75" customHeight="1" x14ac:dyDescent="0.3">
      <c r="A22" s="7">
        <v>18</v>
      </c>
      <c r="B22" s="7" t="s">
        <v>124</v>
      </c>
      <c r="C22" s="7">
        <f>MATCH(D22,Tong_quan!$B$27:$B$39,1)</f>
        <v>6</v>
      </c>
      <c r="D22" s="12">
        <f>DATE(2026,11,13)</f>
        <v>46339</v>
      </c>
      <c r="E22" s="7" t="str">
        <f t="shared" si="0"/>
        <v>Thứ 6</v>
      </c>
      <c r="F22" s="23" t="s">
        <v>84</v>
      </c>
      <c r="G22" s="7" t="s">
        <v>85</v>
      </c>
      <c r="H22" s="1" t="s">
        <v>503</v>
      </c>
      <c r="I22" s="7" t="str">
        <f>INDEX(Tong_quan!$D$27:$D$39,C22)</f>
        <v>Phát triển</v>
      </c>
      <c r="J22" s="3" t="s">
        <v>23</v>
      </c>
      <c r="K22" s="3" t="s">
        <v>504</v>
      </c>
      <c r="L22" s="3" t="s">
        <v>505</v>
      </c>
      <c r="M22" s="3" t="s">
        <v>506</v>
      </c>
      <c r="N22" s="3" t="s">
        <v>104</v>
      </c>
      <c r="O22" s="7" t="s">
        <v>125</v>
      </c>
      <c r="P22" s="3" t="s">
        <v>507</v>
      </c>
      <c r="Q22" s="3" t="s">
        <v>464</v>
      </c>
      <c r="R22" s="3" t="s">
        <v>432</v>
      </c>
      <c r="S22" s="3" t="s">
        <v>425</v>
      </c>
      <c r="T22" s="12">
        <f t="shared" si="1"/>
        <v>46337</v>
      </c>
      <c r="U22" s="12">
        <f t="shared" si="2"/>
        <v>46338</v>
      </c>
      <c r="V22" s="16"/>
      <c r="W22" s="7" t="str">
        <f t="shared" si="3"/>
        <v/>
      </c>
      <c r="X22" s="17"/>
      <c r="Y22" s="17" t="s">
        <v>82</v>
      </c>
      <c r="Z22" s="18"/>
      <c r="AA22" s="18"/>
    </row>
    <row r="23" spans="1:27" ht="30.75" customHeight="1" x14ac:dyDescent="0.3">
      <c r="A23" s="7">
        <v>19</v>
      </c>
      <c r="B23" s="7" t="s">
        <v>122</v>
      </c>
      <c r="C23" s="7">
        <f>MATCH(D23,Tong_quan!$B$27:$B$39,1)</f>
        <v>7</v>
      </c>
      <c r="D23" s="12">
        <f>DATE(2026,11,17)</f>
        <v>46343</v>
      </c>
      <c r="E23" s="7" t="str">
        <f t="shared" si="0"/>
        <v>Thứ 3</v>
      </c>
      <c r="F23" s="23" t="s">
        <v>76</v>
      </c>
      <c r="G23" s="7" t="s">
        <v>77</v>
      </c>
      <c r="H23" s="1" t="s">
        <v>508</v>
      </c>
      <c r="I23" s="7" t="str">
        <f>INDEX(Tong_quan!$D$27:$D$39,C23)</f>
        <v>Phát triển</v>
      </c>
      <c r="J23" s="3" t="s">
        <v>22</v>
      </c>
      <c r="K23" s="3" t="s">
        <v>471</v>
      </c>
      <c r="L23" s="3" t="s">
        <v>509</v>
      </c>
      <c r="M23" s="3" t="s">
        <v>510</v>
      </c>
      <c r="N23" s="3" t="s">
        <v>80</v>
      </c>
      <c r="O23" s="7" t="s">
        <v>474</v>
      </c>
      <c r="P23" s="3" t="s">
        <v>511</v>
      </c>
      <c r="Q23" s="3" t="s">
        <v>426</v>
      </c>
      <c r="R23" s="3" t="s">
        <v>432</v>
      </c>
      <c r="S23" s="3" t="s">
        <v>425</v>
      </c>
      <c r="T23" s="12">
        <f t="shared" si="1"/>
        <v>46339</v>
      </c>
      <c r="U23" s="12">
        <f t="shared" si="2"/>
        <v>46342</v>
      </c>
      <c r="V23" s="16"/>
      <c r="W23" s="7" t="str">
        <f t="shared" si="3"/>
        <v/>
      </c>
      <c r="X23" s="17"/>
      <c r="Y23" s="17" t="s">
        <v>82</v>
      </c>
      <c r="Z23" s="18"/>
      <c r="AA23" s="18"/>
    </row>
    <row r="24" spans="1:27" ht="30.75" customHeight="1" x14ac:dyDescent="0.3">
      <c r="A24" s="7">
        <v>20</v>
      </c>
      <c r="B24" s="7" t="s">
        <v>129</v>
      </c>
      <c r="C24" s="7">
        <f>MATCH(D24,Tong_quan!$B$27:$B$39,1)</f>
        <v>7</v>
      </c>
      <c r="D24" s="12">
        <f>DATE(2026,11,18)</f>
        <v>46344</v>
      </c>
      <c r="E24" s="7" t="str">
        <f t="shared" si="0"/>
        <v>Thứ 4</v>
      </c>
      <c r="F24" s="23" t="s">
        <v>90</v>
      </c>
      <c r="G24" s="7" t="s">
        <v>91</v>
      </c>
      <c r="H24" s="1" t="s">
        <v>512</v>
      </c>
      <c r="I24" s="7" t="str">
        <f>INDEX(Tong_quan!$D$27:$D$39,C24)</f>
        <v>Phát triển</v>
      </c>
      <c r="J24" s="3" t="s">
        <v>23</v>
      </c>
      <c r="K24" s="3" t="s">
        <v>92</v>
      </c>
      <c r="L24" s="3" t="s">
        <v>513</v>
      </c>
      <c r="M24" s="3" t="s">
        <v>501</v>
      </c>
      <c r="N24" s="3" t="s">
        <v>95</v>
      </c>
      <c r="O24" s="7" t="s">
        <v>96</v>
      </c>
      <c r="P24" s="3" t="s">
        <v>514</v>
      </c>
      <c r="Q24" s="3" t="s">
        <v>448</v>
      </c>
      <c r="R24" s="3" t="s">
        <v>432</v>
      </c>
      <c r="S24" s="3" t="s">
        <v>425</v>
      </c>
      <c r="T24" s="12">
        <f t="shared" si="1"/>
        <v>46342</v>
      </c>
      <c r="U24" s="12">
        <f t="shared" si="2"/>
        <v>46343</v>
      </c>
      <c r="V24" s="16"/>
      <c r="W24" s="7" t="str">
        <f t="shared" si="3"/>
        <v/>
      </c>
      <c r="X24" s="17"/>
      <c r="Y24" s="17" t="s">
        <v>82</v>
      </c>
      <c r="Z24" s="18"/>
      <c r="AA24" s="18"/>
    </row>
    <row r="25" spans="1:27" ht="30.75" customHeight="1" x14ac:dyDescent="0.3">
      <c r="A25" s="7">
        <v>21</v>
      </c>
      <c r="B25" s="7" t="s">
        <v>123</v>
      </c>
      <c r="C25" s="7">
        <f>MATCH(D25,Tong_quan!$B$27:$B$39,1)</f>
        <v>7</v>
      </c>
      <c r="D25" s="12">
        <f>DATE(2026,11,20)</f>
        <v>46346</v>
      </c>
      <c r="E25" s="7" t="str">
        <f t="shared" si="0"/>
        <v>Thứ 6</v>
      </c>
      <c r="F25" s="23" t="s">
        <v>76</v>
      </c>
      <c r="G25" s="7" t="s">
        <v>77</v>
      </c>
      <c r="H25" s="1" t="s">
        <v>515</v>
      </c>
      <c r="I25" s="7" t="str">
        <f>INDEX(Tong_quan!$D$27:$D$39,C25)</f>
        <v>Phát triển</v>
      </c>
      <c r="J25" s="3" t="s">
        <v>20</v>
      </c>
      <c r="K25" s="3" t="s">
        <v>450</v>
      </c>
      <c r="L25" s="3" t="s">
        <v>516</v>
      </c>
      <c r="M25" s="3" t="s">
        <v>517</v>
      </c>
      <c r="N25" s="3" t="s">
        <v>80</v>
      </c>
      <c r="O25" s="7" t="s">
        <v>110</v>
      </c>
      <c r="P25" s="3" t="s">
        <v>518</v>
      </c>
      <c r="Q25" s="3" t="s">
        <v>425</v>
      </c>
      <c r="R25" s="3" t="s">
        <v>426</v>
      </c>
      <c r="S25" s="3" t="s">
        <v>426</v>
      </c>
      <c r="T25" s="12">
        <f t="shared" si="1"/>
        <v>46344</v>
      </c>
      <c r="U25" s="12">
        <f t="shared" si="2"/>
        <v>46345</v>
      </c>
      <c r="V25" s="16"/>
      <c r="W25" s="7" t="str">
        <f t="shared" si="3"/>
        <v/>
      </c>
      <c r="X25" s="17"/>
      <c r="Y25" s="17" t="s">
        <v>82</v>
      </c>
      <c r="Z25" s="18"/>
      <c r="AA25" s="18"/>
    </row>
    <row r="26" spans="1:27" ht="30.75" customHeight="1" x14ac:dyDescent="0.3">
      <c r="A26" s="7">
        <v>22</v>
      </c>
      <c r="B26" s="7" t="s">
        <v>130</v>
      </c>
      <c r="C26" s="7">
        <f>MATCH(D26,Tong_quan!$B$27:$B$39,1)</f>
        <v>8</v>
      </c>
      <c r="D26" s="12">
        <f>DATE(2026,11,24)</f>
        <v>46350</v>
      </c>
      <c r="E26" s="7" t="str">
        <f t="shared" si="0"/>
        <v>Thứ 3</v>
      </c>
      <c r="F26" s="23" t="s">
        <v>84</v>
      </c>
      <c r="G26" s="7" t="s">
        <v>85</v>
      </c>
      <c r="H26" s="1" t="s">
        <v>519</v>
      </c>
      <c r="I26" s="7" t="str">
        <f>INDEX(Tong_quan!$D$27:$D$39,C26)</f>
        <v>Phát triển</v>
      </c>
      <c r="J26" s="3" t="s">
        <v>23</v>
      </c>
      <c r="K26" s="3" t="s">
        <v>118</v>
      </c>
      <c r="L26" s="3" t="s">
        <v>520</v>
      </c>
      <c r="M26" s="3" t="s">
        <v>521</v>
      </c>
      <c r="N26" s="3" t="s">
        <v>104</v>
      </c>
      <c r="O26" s="7" t="s">
        <v>125</v>
      </c>
      <c r="P26" s="3" t="s">
        <v>522</v>
      </c>
      <c r="Q26" s="3" t="s">
        <v>464</v>
      </c>
      <c r="R26" s="3" t="s">
        <v>432</v>
      </c>
      <c r="S26" s="3" t="s">
        <v>425</v>
      </c>
      <c r="T26" s="12">
        <f t="shared" si="1"/>
        <v>46346</v>
      </c>
      <c r="U26" s="12">
        <f t="shared" si="2"/>
        <v>46349</v>
      </c>
      <c r="V26" s="16"/>
      <c r="W26" s="7" t="str">
        <f t="shared" si="3"/>
        <v/>
      </c>
      <c r="X26" s="17"/>
      <c r="Y26" s="17" t="s">
        <v>82</v>
      </c>
      <c r="Z26" s="18"/>
      <c r="AA26" s="18" t="s">
        <v>523</v>
      </c>
    </row>
    <row r="27" spans="1:27" ht="30.75" customHeight="1" x14ac:dyDescent="0.3">
      <c r="A27" s="7">
        <v>23</v>
      </c>
      <c r="B27" s="7" t="s">
        <v>127</v>
      </c>
      <c r="C27" s="7">
        <f>MATCH(D27,Tong_quan!$B$27:$B$39,1)</f>
        <v>8</v>
      </c>
      <c r="D27" s="12">
        <f>DATE(2026,11,25)</f>
        <v>46351</v>
      </c>
      <c r="E27" s="7" t="str">
        <f t="shared" si="0"/>
        <v>Thứ 4</v>
      </c>
      <c r="F27" s="23" t="s">
        <v>76</v>
      </c>
      <c r="G27" s="7" t="s">
        <v>77</v>
      </c>
      <c r="H27" s="1" t="s">
        <v>524</v>
      </c>
      <c r="I27" s="7" t="str">
        <f>INDEX(Tong_quan!$D$27:$D$39,C27)</f>
        <v>Phát triển</v>
      </c>
      <c r="J27" s="3" t="s">
        <v>21</v>
      </c>
      <c r="K27" s="3" t="s">
        <v>525</v>
      </c>
      <c r="L27" s="3" t="s">
        <v>526</v>
      </c>
      <c r="M27" s="3" t="s">
        <v>527</v>
      </c>
      <c r="N27" s="3" t="s">
        <v>80</v>
      </c>
      <c r="O27" s="7" t="s">
        <v>143</v>
      </c>
      <c r="P27" s="3" t="s">
        <v>528</v>
      </c>
      <c r="Q27" s="3" t="s">
        <v>448</v>
      </c>
      <c r="R27" s="3" t="s">
        <v>432</v>
      </c>
      <c r="S27" s="3" t="s">
        <v>425</v>
      </c>
      <c r="T27" s="12">
        <f t="shared" si="1"/>
        <v>46349</v>
      </c>
      <c r="U27" s="12">
        <f t="shared" si="2"/>
        <v>46350</v>
      </c>
      <c r="V27" s="16"/>
      <c r="W27" s="7" t="str">
        <f t="shared" si="3"/>
        <v/>
      </c>
      <c r="X27" s="17"/>
      <c r="Y27" s="17" t="s">
        <v>82</v>
      </c>
      <c r="Z27" s="18"/>
      <c r="AA27" s="18"/>
    </row>
    <row r="28" spans="1:27" ht="30.75" customHeight="1" x14ac:dyDescent="0.3">
      <c r="A28" s="7">
        <v>24</v>
      </c>
      <c r="B28" s="7" t="s">
        <v>120</v>
      </c>
      <c r="C28" s="7">
        <f>MATCH(D28,Tong_quan!$B$27:$B$39,1)</f>
        <v>8</v>
      </c>
      <c r="D28" s="12">
        <f>DATE(2026,11,27)</f>
        <v>46353</v>
      </c>
      <c r="E28" s="7" t="str">
        <f t="shared" si="0"/>
        <v>Thứ 6</v>
      </c>
      <c r="F28" s="23" t="s">
        <v>106</v>
      </c>
      <c r="G28" s="7" t="s">
        <v>107</v>
      </c>
      <c r="H28" s="1" t="s">
        <v>529</v>
      </c>
      <c r="I28" s="7" t="str">
        <f>INDEX(Tong_quan!$D$27:$D$39,C28)</f>
        <v>Phát triển</v>
      </c>
      <c r="J28" s="3" t="s">
        <v>24</v>
      </c>
      <c r="K28" s="3" t="s">
        <v>121</v>
      </c>
      <c r="L28" s="3" t="s">
        <v>530</v>
      </c>
      <c r="M28" s="3" t="s">
        <v>531</v>
      </c>
      <c r="N28" s="3" t="s">
        <v>95</v>
      </c>
      <c r="O28" s="7" t="s">
        <v>108</v>
      </c>
      <c r="P28" s="3" t="s">
        <v>532</v>
      </c>
      <c r="Q28" s="3" t="s">
        <v>448</v>
      </c>
      <c r="R28" s="3" t="s">
        <v>432</v>
      </c>
      <c r="S28" s="3" t="s">
        <v>425</v>
      </c>
      <c r="T28" s="12">
        <f t="shared" si="1"/>
        <v>46351</v>
      </c>
      <c r="U28" s="12">
        <f t="shared" si="2"/>
        <v>46352</v>
      </c>
      <c r="V28" s="16"/>
      <c r="W28" s="7" t="str">
        <f t="shared" si="3"/>
        <v/>
      </c>
      <c r="X28" s="17"/>
      <c r="Y28" s="17" t="s">
        <v>82</v>
      </c>
      <c r="Z28" s="18"/>
      <c r="AA28" s="18"/>
    </row>
    <row r="29" spans="1:27" ht="30.75" customHeight="1" x14ac:dyDescent="0.3">
      <c r="A29" s="7">
        <v>25</v>
      </c>
      <c r="B29" s="7" t="s">
        <v>134</v>
      </c>
      <c r="C29" s="7">
        <f>MATCH(D29,Tong_quan!$B$27:$B$39,1)</f>
        <v>9</v>
      </c>
      <c r="D29" s="12">
        <f>DATE(2026,12,1)</f>
        <v>46357</v>
      </c>
      <c r="E29" s="7" t="str">
        <f t="shared" si="0"/>
        <v>Thứ 3</v>
      </c>
      <c r="F29" s="23" t="s">
        <v>90</v>
      </c>
      <c r="G29" s="7" t="s">
        <v>91</v>
      </c>
      <c r="H29" s="1" t="s">
        <v>533</v>
      </c>
      <c r="I29" s="7" t="str">
        <f>INDEX(Tong_quan!$D$27:$D$39,C29)</f>
        <v>Phát triển / Kiểm thử</v>
      </c>
      <c r="J29" s="3" t="s">
        <v>21</v>
      </c>
      <c r="K29" s="3" t="s">
        <v>499</v>
      </c>
      <c r="L29" s="3" t="s">
        <v>534</v>
      </c>
      <c r="M29" s="3" t="s">
        <v>501</v>
      </c>
      <c r="N29" s="3" t="s">
        <v>95</v>
      </c>
      <c r="O29" s="7" t="s">
        <v>96</v>
      </c>
      <c r="P29" s="3" t="s">
        <v>535</v>
      </c>
      <c r="Q29" s="3" t="s">
        <v>448</v>
      </c>
      <c r="R29" s="3" t="s">
        <v>432</v>
      </c>
      <c r="S29" s="3" t="s">
        <v>425</v>
      </c>
      <c r="T29" s="12">
        <f t="shared" si="1"/>
        <v>46353</v>
      </c>
      <c r="U29" s="12">
        <f t="shared" si="2"/>
        <v>46356</v>
      </c>
      <c r="V29" s="16"/>
      <c r="W29" s="7" t="str">
        <f t="shared" si="3"/>
        <v/>
      </c>
      <c r="X29" s="17"/>
      <c r="Y29" s="17" t="s">
        <v>82</v>
      </c>
      <c r="Z29" s="18"/>
      <c r="AA29" s="18"/>
    </row>
    <row r="30" spans="1:27" ht="30.75" customHeight="1" x14ac:dyDescent="0.3">
      <c r="A30" s="7">
        <v>26</v>
      </c>
      <c r="B30" s="7" t="s">
        <v>128</v>
      </c>
      <c r="C30" s="7">
        <f>MATCH(D30,Tong_quan!$B$27:$B$39,1)</f>
        <v>9</v>
      </c>
      <c r="D30" s="12">
        <f>DATE(2026,12,2)</f>
        <v>46358</v>
      </c>
      <c r="E30" s="7" t="str">
        <f t="shared" si="0"/>
        <v>Thứ 4</v>
      </c>
      <c r="F30" s="23" t="s">
        <v>76</v>
      </c>
      <c r="G30" s="7" t="s">
        <v>77</v>
      </c>
      <c r="H30" s="1" t="s">
        <v>536</v>
      </c>
      <c r="I30" s="7" t="str">
        <f>INDEX(Tong_quan!$D$27:$D$39,C30)</f>
        <v>Phát triển / Kiểm thử</v>
      </c>
      <c r="J30" s="3" t="s">
        <v>21</v>
      </c>
      <c r="K30" s="3" t="s">
        <v>99</v>
      </c>
      <c r="L30" s="3" t="s">
        <v>537</v>
      </c>
      <c r="M30" s="3" t="s">
        <v>538</v>
      </c>
      <c r="N30" s="3" t="s">
        <v>80</v>
      </c>
      <c r="O30" s="7" t="s">
        <v>113</v>
      </c>
      <c r="P30" s="3" t="s">
        <v>539</v>
      </c>
      <c r="Q30" s="3" t="s">
        <v>464</v>
      </c>
      <c r="R30" s="3" t="s">
        <v>432</v>
      </c>
      <c r="S30" s="3" t="s">
        <v>425</v>
      </c>
      <c r="T30" s="12">
        <f t="shared" si="1"/>
        <v>46356</v>
      </c>
      <c r="U30" s="12">
        <f t="shared" si="2"/>
        <v>46357</v>
      </c>
      <c r="V30" s="16"/>
      <c r="W30" s="7" t="str">
        <f t="shared" si="3"/>
        <v/>
      </c>
      <c r="X30" s="17"/>
      <c r="Y30" s="17" t="s">
        <v>82</v>
      </c>
      <c r="Z30" s="18"/>
      <c r="AA30" s="18"/>
    </row>
    <row r="31" spans="1:27" ht="30.75" customHeight="1" x14ac:dyDescent="0.3">
      <c r="A31" s="7">
        <v>27</v>
      </c>
      <c r="B31" s="7" t="s">
        <v>132</v>
      </c>
      <c r="C31" s="7">
        <f>MATCH(D31,Tong_quan!$B$27:$B$39,1)</f>
        <v>9</v>
      </c>
      <c r="D31" s="12">
        <f>DATE(2026,12,4)</f>
        <v>46360</v>
      </c>
      <c r="E31" s="7" t="str">
        <f t="shared" si="0"/>
        <v>Thứ 6</v>
      </c>
      <c r="F31" s="23" t="s">
        <v>84</v>
      </c>
      <c r="G31" s="7" t="s">
        <v>85</v>
      </c>
      <c r="H31" s="1" t="s">
        <v>540</v>
      </c>
      <c r="I31" s="7" t="str">
        <f>INDEX(Tong_quan!$D$27:$D$39,C31)</f>
        <v>Phát triển / Kiểm thử</v>
      </c>
      <c r="J31" s="3" t="s">
        <v>23</v>
      </c>
      <c r="K31" s="3" t="s">
        <v>541</v>
      </c>
      <c r="L31" s="3" t="s">
        <v>542</v>
      </c>
      <c r="M31" s="3" t="s">
        <v>543</v>
      </c>
      <c r="N31" s="3" t="s">
        <v>104</v>
      </c>
      <c r="O31" s="7" t="s">
        <v>125</v>
      </c>
      <c r="P31" s="3" t="s">
        <v>544</v>
      </c>
      <c r="Q31" s="3" t="s">
        <v>432</v>
      </c>
      <c r="R31" s="3" t="s">
        <v>426</v>
      </c>
      <c r="S31" s="3" t="s">
        <v>425</v>
      </c>
      <c r="T31" s="12">
        <f t="shared" si="1"/>
        <v>46358</v>
      </c>
      <c r="U31" s="12">
        <f t="shared" si="2"/>
        <v>46359</v>
      </c>
      <c r="V31" s="16"/>
      <c r="W31" s="7" t="str">
        <f t="shared" si="3"/>
        <v/>
      </c>
      <c r="X31" s="17"/>
      <c r="Y31" s="17" t="s">
        <v>82</v>
      </c>
      <c r="Z31" s="18"/>
      <c r="AA31" s="18"/>
    </row>
    <row r="32" spans="1:27" ht="30.75" customHeight="1" x14ac:dyDescent="0.3">
      <c r="A32" s="7">
        <v>28</v>
      </c>
      <c r="B32" s="7" t="s">
        <v>131</v>
      </c>
      <c r="C32" s="7">
        <f>MATCH(D32,Tong_quan!$B$27:$B$39,1)</f>
        <v>10</v>
      </c>
      <c r="D32" s="12">
        <f>DATE(2026,12,8)</f>
        <v>46364</v>
      </c>
      <c r="E32" s="7" t="str">
        <f t="shared" si="0"/>
        <v>Thứ 3</v>
      </c>
      <c r="F32" s="23" t="s">
        <v>76</v>
      </c>
      <c r="G32" s="7" t="s">
        <v>77</v>
      </c>
      <c r="H32" s="1" t="s">
        <v>545</v>
      </c>
      <c r="I32" s="7" t="str">
        <f>INDEX(Tong_quan!$D$27:$D$39,C32)</f>
        <v>Kiểm thử</v>
      </c>
      <c r="J32" s="3" t="s">
        <v>21</v>
      </c>
      <c r="K32" s="3" t="s">
        <v>546</v>
      </c>
      <c r="L32" s="3" t="s">
        <v>547</v>
      </c>
      <c r="M32" s="3" t="s">
        <v>548</v>
      </c>
      <c r="N32" s="3" t="s">
        <v>80</v>
      </c>
      <c r="O32" s="7" t="s">
        <v>143</v>
      </c>
      <c r="P32" s="3" t="s">
        <v>549</v>
      </c>
      <c r="Q32" s="3" t="s">
        <v>464</v>
      </c>
      <c r="R32" s="3" t="s">
        <v>432</v>
      </c>
      <c r="S32" s="3" t="s">
        <v>425</v>
      </c>
      <c r="T32" s="12">
        <f t="shared" si="1"/>
        <v>46360</v>
      </c>
      <c r="U32" s="12">
        <f t="shared" si="2"/>
        <v>46363</v>
      </c>
      <c r="V32" s="16"/>
      <c r="W32" s="7" t="str">
        <f t="shared" si="3"/>
        <v/>
      </c>
      <c r="X32" s="17"/>
      <c r="Y32" s="17" t="s">
        <v>82</v>
      </c>
      <c r="Z32" s="18"/>
      <c r="AA32" s="18" t="s">
        <v>550</v>
      </c>
    </row>
    <row r="33" spans="1:27" ht="30.75" customHeight="1" x14ac:dyDescent="0.3">
      <c r="A33" s="7">
        <v>29</v>
      </c>
      <c r="B33" s="7" t="s">
        <v>136</v>
      </c>
      <c r="C33" s="7">
        <f>MATCH(D33,Tong_quan!$B$27:$B$39,1)</f>
        <v>10</v>
      </c>
      <c r="D33" s="12">
        <f>DATE(2026,12,9)</f>
        <v>46365</v>
      </c>
      <c r="E33" s="7" t="str">
        <f t="shared" si="0"/>
        <v>Thứ 4</v>
      </c>
      <c r="F33" s="23" t="s">
        <v>90</v>
      </c>
      <c r="G33" s="7" t="s">
        <v>91</v>
      </c>
      <c r="H33" s="1" t="s">
        <v>551</v>
      </c>
      <c r="I33" s="7" t="str">
        <f>INDEX(Tong_quan!$D$27:$D$39,C33)</f>
        <v>Kiểm thử</v>
      </c>
      <c r="J33" s="3" t="s">
        <v>23</v>
      </c>
      <c r="K33" s="3" t="s">
        <v>552</v>
      </c>
      <c r="L33" s="3" t="s">
        <v>553</v>
      </c>
      <c r="M33" s="3" t="s">
        <v>554</v>
      </c>
      <c r="N33" s="3" t="s">
        <v>95</v>
      </c>
      <c r="O33" s="7" t="s">
        <v>96</v>
      </c>
      <c r="P33" s="3" t="s">
        <v>555</v>
      </c>
      <c r="Q33" s="3" t="s">
        <v>432</v>
      </c>
      <c r="R33" s="3" t="s">
        <v>426</v>
      </c>
      <c r="S33" s="3" t="s">
        <v>425</v>
      </c>
      <c r="T33" s="12">
        <f t="shared" si="1"/>
        <v>46363</v>
      </c>
      <c r="U33" s="12">
        <f t="shared" si="2"/>
        <v>46364</v>
      </c>
      <c r="V33" s="16"/>
      <c r="W33" s="7" t="str">
        <f t="shared" si="3"/>
        <v/>
      </c>
      <c r="X33" s="17"/>
      <c r="Y33" s="17" t="s">
        <v>82</v>
      </c>
      <c r="Z33" s="18"/>
      <c r="AA33" s="18" t="s">
        <v>556</v>
      </c>
    </row>
    <row r="34" spans="1:27" ht="30.75" customHeight="1" x14ac:dyDescent="0.3">
      <c r="A34" s="7">
        <v>30</v>
      </c>
      <c r="B34" s="7" t="s">
        <v>133</v>
      </c>
      <c r="C34" s="7">
        <f>MATCH(D34,Tong_quan!$B$27:$B$39,1)</f>
        <v>10</v>
      </c>
      <c r="D34" s="12">
        <f>DATE(2026,12,11)</f>
        <v>46367</v>
      </c>
      <c r="E34" s="7" t="str">
        <f t="shared" si="0"/>
        <v>Thứ 6</v>
      </c>
      <c r="F34" s="23" t="s">
        <v>76</v>
      </c>
      <c r="G34" s="7" t="s">
        <v>77</v>
      </c>
      <c r="H34" s="1" t="s">
        <v>557</v>
      </c>
      <c r="I34" s="7" t="str">
        <f>INDEX(Tong_quan!$D$27:$D$39,C34)</f>
        <v>Kiểm thử</v>
      </c>
      <c r="J34" s="3" t="s">
        <v>22</v>
      </c>
      <c r="K34" s="3" t="s">
        <v>558</v>
      </c>
      <c r="L34" s="3" t="s">
        <v>559</v>
      </c>
      <c r="M34" s="3" t="s">
        <v>560</v>
      </c>
      <c r="N34" s="3" t="s">
        <v>104</v>
      </c>
      <c r="O34" s="7" t="s">
        <v>143</v>
      </c>
      <c r="P34" s="3" t="s">
        <v>469</v>
      </c>
      <c r="Q34" s="3" t="s">
        <v>426</v>
      </c>
      <c r="R34" s="3" t="s">
        <v>432</v>
      </c>
      <c r="S34" s="3" t="s">
        <v>425</v>
      </c>
      <c r="T34" s="12">
        <f t="shared" si="1"/>
        <v>46365</v>
      </c>
      <c r="U34" s="12">
        <f t="shared" si="2"/>
        <v>46366</v>
      </c>
      <c r="V34" s="16"/>
      <c r="W34" s="7" t="str">
        <f t="shared" si="3"/>
        <v/>
      </c>
      <c r="X34" s="17"/>
      <c r="Y34" s="17" t="s">
        <v>82</v>
      </c>
      <c r="Z34" s="18"/>
      <c r="AA34" s="18"/>
    </row>
    <row r="35" spans="1:27" ht="30.75" customHeight="1" x14ac:dyDescent="0.3">
      <c r="A35" s="7">
        <v>31</v>
      </c>
      <c r="B35" s="7" t="s">
        <v>144</v>
      </c>
      <c r="C35" s="7">
        <f>MATCH(D35,Tong_quan!$B$27:$B$39,1)</f>
        <v>11</v>
      </c>
      <c r="D35" s="12">
        <f>DATE(2026,12,15)</f>
        <v>46371</v>
      </c>
      <c r="E35" s="7" t="str">
        <f t="shared" si="0"/>
        <v>Thứ 3</v>
      </c>
      <c r="F35" s="23" t="s">
        <v>84</v>
      </c>
      <c r="G35" s="7" t="s">
        <v>85</v>
      </c>
      <c r="H35" s="1" t="s">
        <v>561</v>
      </c>
      <c r="I35" s="7" t="str">
        <f>INDEX(Tong_quan!$D$27:$D$39,C35)</f>
        <v>Kiểm thử</v>
      </c>
      <c r="J35" s="3" t="s">
        <v>23</v>
      </c>
      <c r="K35" s="3" t="s">
        <v>562</v>
      </c>
      <c r="L35" s="3" t="s">
        <v>563</v>
      </c>
      <c r="M35" s="3" t="s">
        <v>564</v>
      </c>
      <c r="N35" s="3" t="s">
        <v>104</v>
      </c>
      <c r="O35" s="7" t="s">
        <v>125</v>
      </c>
      <c r="P35" s="3" t="s">
        <v>565</v>
      </c>
      <c r="Q35" s="3" t="s">
        <v>432</v>
      </c>
      <c r="R35" s="3" t="s">
        <v>426</v>
      </c>
      <c r="S35" s="3" t="s">
        <v>425</v>
      </c>
      <c r="T35" s="12">
        <f t="shared" si="1"/>
        <v>46367</v>
      </c>
      <c r="U35" s="12">
        <f t="shared" si="2"/>
        <v>46370</v>
      </c>
      <c r="V35" s="16"/>
      <c r="W35" s="7" t="str">
        <f t="shared" si="3"/>
        <v/>
      </c>
      <c r="X35" s="17"/>
      <c r="Y35" s="17" t="s">
        <v>82</v>
      </c>
      <c r="Z35" s="18"/>
      <c r="AA35" s="18" t="s">
        <v>566</v>
      </c>
    </row>
    <row r="36" spans="1:27" ht="30.75" customHeight="1" x14ac:dyDescent="0.3">
      <c r="A36" s="7">
        <v>32</v>
      </c>
      <c r="B36" s="7" t="s">
        <v>146</v>
      </c>
      <c r="C36" s="7">
        <f>MATCH(D36,Tong_quan!$B$27:$B$39,1)</f>
        <v>11</v>
      </c>
      <c r="D36" s="12">
        <f>DATE(2026,12,16)</f>
        <v>46372</v>
      </c>
      <c r="E36" s="7" t="str">
        <f t="shared" si="0"/>
        <v>Thứ 4</v>
      </c>
      <c r="F36" s="23" t="s">
        <v>90</v>
      </c>
      <c r="G36" s="7" t="s">
        <v>91</v>
      </c>
      <c r="H36" s="1" t="s">
        <v>567</v>
      </c>
      <c r="I36" s="7" t="str">
        <f>INDEX(Tong_quan!$D$27:$D$39,C36)</f>
        <v>Kiểm thử</v>
      </c>
      <c r="J36" s="3" t="s">
        <v>20</v>
      </c>
      <c r="K36" s="3" t="s">
        <v>92</v>
      </c>
      <c r="L36" s="3" t="s">
        <v>568</v>
      </c>
      <c r="M36" s="3" t="s">
        <v>501</v>
      </c>
      <c r="N36" s="3" t="s">
        <v>95</v>
      </c>
      <c r="O36" s="7" t="s">
        <v>96</v>
      </c>
      <c r="P36" s="3" t="s">
        <v>569</v>
      </c>
      <c r="Q36" s="3" t="s">
        <v>432</v>
      </c>
      <c r="R36" s="3" t="s">
        <v>426</v>
      </c>
      <c r="S36" s="3" t="s">
        <v>425</v>
      </c>
      <c r="T36" s="12">
        <f t="shared" si="1"/>
        <v>46370</v>
      </c>
      <c r="U36" s="12">
        <f t="shared" si="2"/>
        <v>46371</v>
      </c>
      <c r="V36" s="16"/>
      <c r="W36" s="7" t="str">
        <f t="shared" si="3"/>
        <v/>
      </c>
      <c r="X36" s="17"/>
      <c r="Y36" s="17" t="s">
        <v>82</v>
      </c>
      <c r="Z36" s="18"/>
      <c r="AA36" s="18"/>
    </row>
    <row r="37" spans="1:27" ht="30.75" customHeight="1" x14ac:dyDescent="0.3">
      <c r="A37" s="7">
        <v>33</v>
      </c>
      <c r="B37" s="7" t="s">
        <v>135</v>
      </c>
      <c r="C37" s="7">
        <f>MATCH(D37,Tong_quan!$B$27:$B$39,1)</f>
        <v>11</v>
      </c>
      <c r="D37" s="12">
        <f>DATE(2026,12,18)</f>
        <v>46374</v>
      </c>
      <c r="E37" s="7" t="str">
        <f t="shared" si="0"/>
        <v>Thứ 6</v>
      </c>
      <c r="F37" s="23" t="s">
        <v>76</v>
      </c>
      <c r="G37" s="7" t="s">
        <v>77</v>
      </c>
      <c r="H37" s="1" t="s">
        <v>570</v>
      </c>
      <c r="I37" s="7" t="str">
        <f>INDEX(Tong_quan!$D$27:$D$39,C37)</f>
        <v>Kiểm thử</v>
      </c>
      <c r="J37" s="3" t="s">
        <v>24</v>
      </c>
      <c r="K37" s="3" t="s">
        <v>571</v>
      </c>
      <c r="L37" s="3" t="s">
        <v>572</v>
      </c>
      <c r="M37" s="3" t="s">
        <v>573</v>
      </c>
      <c r="N37" s="3" t="s">
        <v>80</v>
      </c>
      <c r="O37" s="7" t="s">
        <v>474</v>
      </c>
      <c r="P37" s="3" t="s">
        <v>574</v>
      </c>
      <c r="Q37" s="3" t="s">
        <v>425</v>
      </c>
      <c r="R37" s="3" t="s">
        <v>426</v>
      </c>
      <c r="S37" s="3" t="s">
        <v>426</v>
      </c>
      <c r="T37" s="12">
        <f t="shared" si="1"/>
        <v>46372</v>
      </c>
      <c r="U37" s="12">
        <f t="shared" si="2"/>
        <v>46373</v>
      </c>
      <c r="V37" s="16"/>
      <c r="W37" s="7" t="str">
        <f t="shared" si="3"/>
        <v/>
      </c>
      <c r="X37" s="17"/>
      <c r="Y37" s="17" t="s">
        <v>82</v>
      </c>
      <c r="Z37" s="18"/>
      <c r="AA37" s="18"/>
    </row>
    <row r="38" spans="1:27" ht="30.75" customHeight="1" x14ac:dyDescent="0.3">
      <c r="A38" s="7">
        <v>34</v>
      </c>
      <c r="B38" s="7" t="s">
        <v>137</v>
      </c>
      <c r="C38" s="7">
        <f>MATCH(D38,Tong_quan!$B$27:$B$39,1)</f>
        <v>12</v>
      </c>
      <c r="D38" s="12">
        <f>DATE(2026,12,22)</f>
        <v>46378</v>
      </c>
      <c r="E38" s="7" t="str">
        <f t="shared" si="0"/>
        <v>Thứ 3</v>
      </c>
      <c r="F38" s="23" t="s">
        <v>76</v>
      </c>
      <c r="G38" s="7" t="s">
        <v>77</v>
      </c>
      <c r="H38" s="1" t="s">
        <v>138</v>
      </c>
      <c r="I38" s="7" t="str">
        <f>INDEX(Tong_quan!$D$27:$D$39,C38)</f>
        <v>Nghiệm thu</v>
      </c>
      <c r="J38" s="3" t="s">
        <v>21</v>
      </c>
      <c r="K38" s="3" t="s">
        <v>575</v>
      </c>
      <c r="L38" s="3" t="s">
        <v>576</v>
      </c>
      <c r="M38" s="3" t="s">
        <v>577</v>
      </c>
      <c r="N38" s="3" t="s">
        <v>80</v>
      </c>
      <c r="O38" s="7" t="s">
        <v>113</v>
      </c>
      <c r="P38" s="3" t="s">
        <v>578</v>
      </c>
      <c r="Q38" s="3" t="s">
        <v>426</v>
      </c>
      <c r="R38" s="3" t="s">
        <v>432</v>
      </c>
      <c r="S38" s="3" t="s">
        <v>425</v>
      </c>
      <c r="T38" s="12">
        <f t="shared" si="1"/>
        <v>46374</v>
      </c>
      <c r="U38" s="12">
        <f t="shared" si="2"/>
        <v>46377</v>
      </c>
      <c r="V38" s="16"/>
      <c r="W38" s="7" t="str">
        <f t="shared" si="3"/>
        <v/>
      </c>
      <c r="X38" s="17"/>
      <c r="Y38" s="17" t="s">
        <v>82</v>
      </c>
      <c r="Z38" s="18"/>
      <c r="AA38" s="18"/>
    </row>
    <row r="39" spans="1:27" ht="30.75" customHeight="1" x14ac:dyDescent="0.3">
      <c r="A39" s="7">
        <v>35</v>
      </c>
      <c r="B39" s="7" t="s">
        <v>139</v>
      </c>
      <c r="C39" s="7">
        <f>MATCH(D39,Tong_quan!$B$27:$B$39,1)</f>
        <v>12</v>
      </c>
      <c r="D39" s="12">
        <f>DATE(2026,12,23)</f>
        <v>46379</v>
      </c>
      <c r="E39" s="7" t="str">
        <f t="shared" si="0"/>
        <v>Thứ 4</v>
      </c>
      <c r="F39" s="23" t="s">
        <v>106</v>
      </c>
      <c r="G39" s="7" t="s">
        <v>107</v>
      </c>
      <c r="H39" s="1" t="s">
        <v>579</v>
      </c>
      <c r="I39" s="7" t="str">
        <f>INDEX(Tong_quan!$D$27:$D$39,C39)</f>
        <v>Nghiệm thu</v>
      </c>
      <c r="J39" s="3" t="s">
        <v>24</v>
      </c>
      <c r="K39" s="3" t="s">
        <v>140</v>
      </c>
      <c r="L39" s="3" t="s">
        <v>580</v>
      </c>
      <c r="M39" s="3" t="s">
        <v>531</v>
      </c>
      <c r="N39" s="3" t="s">
        <v>95</v>
      </c>
      <c r="O39" s="7" t="s">
        <v>108</v>
      </c>
      <c r="P39" s="3" t="s">
        <v>574</v>
      </c>
      <c r="Q39" s="3" t="s">
        <v>448</v>
      </c>
      <c r="R39" s="3" t="s">
        <v>432</v>
      </c>
      <c r="S39" s="3" t="s">
        <v>425</v>
      </c>
      <c r="T39" s="12">
        <f t="shared" si="1"/>
        <v>46377</v>
      </c>
      <c r="U39" s="12">
        <f t="shared" si="2"/>
        <v>46378</v>
      </c>
      <c r="V39" s="16"/>
      <c r="W39" s="7" t="str">
        <f t="shared" si="3"/>
        <v/>
      </c>
      <c r="X39" s="17"/>
      <c r="Y39" s="17" t="s">
        <v>82</v>
      </c>
      <c r="Z39" s="18"/>
      <c r="AA39" s="18"/>
    </row>
    <row r="40" spans="1:27" ht="30.75" customHeight="1" x14ac:dyDescent="0.3">
      <c r="A40" s="7">
        <v>36</v>
      </c>
      <c r="B40" s="7" t="s">
        <v>141</v>
      </c>
      <c r="C40" s="7">
        <f>MATCH(D40,Tong_quan!$B$27:$B$39,1)</f>
        <v>12</v>
      </c>
      <c r="D40" s="12">
        <f>DATE(2026,12,24)</f>
        <v>46380</v>
      </c>
      <c r="E40" s="7" t="str">
        <f t="shared" ref="E40:E42" si="4">CHOOSE(WEEKDAY(D40),"CN","Thứ 2","Thứ 3","Thứ 4","Thứ 5","Thứ 6","Thứ 7")</f>
        <v>Thứ 5</v>
      </c>
      <c r="F40" s="23" t="s">
        <v>76</v>
      </c>
      <c r="G40" s="7" t="s">
        <v>77</v>
      </c>
      <c r="H40" s="1" t="s">
        <v>581</v>
      </c>
      <c r="I40" s="7" t="str">
        <f>INDEX(Tong_quan!$D$27:$D$39,C40)</f>
        <v>Nghiệm thu</v>
      </c>
      <c r="J40" s="3" t="s">
        <v>20</v>
      </c>
      <c r="K40" s="3" t="s">
        <v>142</v>
      </c>
      <c r="L40" s="3" t="s">
        <v>582</v>
      </c>
      <c r="M40" s="3" t="s">
        <v>583</v>
      </c>
      <c r="N40" s="3" t="s">
        <v>104</v>
      </c>
      <c r="O40" s="7" t="s">
        <v>143</v>
      </c>
      <c r="P40" s="3" t="s">
        <v>584</v>
      </c>
      <c r="Q40" s="3" t="s">
        <v>426</v>
      </c>
      <c r="R40" s="3" t="s">
        <v>432</v>
      </c>
      <c r="S40" s="3" t="s">
        <v>425</v>
      </c>
      <c r="T40" s="12">
        <f t="shared" ref="T40:T42" si="5">WORKDAY(D40,-2)</f>
        <v>46378</v>
      </c>
      <c r="U40" s="12">
        <f t="shared" ref="U40:U42" si="6">WORKDAY(D40,-1)</f>
        <v>46379</v>
      </c>
      <c r="V40" s="16"/>
      <c r="W40" s="7" t="str">
        <f t="shared" ref="W40:W42" si="7">IF(V40="","",IF(V40&lt;=U40,"Đúng hạn","Trễ"))</f>
        <v/>
      </c>
      <c r="X40" s="17"/>
      <c r="Y40" s="17" t="s">
        <v>82</v>
      </c>
      <c r="Z40" s="18"/>
      <c r="AA40" s="18" t="s">
        <v>585</v>
      </c>
    </row>
    <row r="41" spans="1:27" ht="30.75" customHeight="1" x14ac:dyDescent="0.3">
      <c r="A41" s="7">
        <v>37</v>
      </c>
      <c r="B41" s="7" t="s">
        <v>586</v>
      </c>
      <c r="C41" s="7">
        <f>MATCH(D41,Tong_quan!$B$27:$B$39,1)</f>
        <v>13</v>
      </c>
      <c r="D41" s="12">
        <f>DATE(2026,12,29)</f>
        <v>46385</v>
      </c>
      <c r="E41" s="7" t="str">
        <f t="shared" si="4"/>
        <v>Thứ 3</v>
      </c>
      <c r="F41" s="23" t="s">
        <v>76</v>
      </c>
      <c r="G41" s="7" t="s">
        <v>77</v>
      </c>
      <c r="H41" s="1" t="s">
        <v>587</v>
      </c>
      <c r="I41" s="7" t="str">
        <f>INDEX(Tong_quan!$D$27:$D$39,C41)</f>
        <v>Triển khai</v>
      </c>
      <c r="J41" s="3" t="s">
        <v>24</v>
      </c>
      <c r="K41" s="3" t="s">
        <v>78</v>
      </c>
      <c r="L41" s="3" t="s">
        <v>588</v>
      </c>
      <c r="M41" s="3" t="s">
        <v>589</v>
      </c>
      <c r="N41" s="3" t="s">
        <v>80</v>
      </c>
      <c r="O41" s="7" t="s">
        <v>81</v>
      </c>
      <c r="P41" s="3" t="s">
        <v>590</v>
      </c>
      <c r="Q41" s="3" t="s">
        <v>425</v>
      </c>
      <c r="R41" s="3" t="s">
        <v>426</v>
      </c>
      <c r="S41" s="3" t="s">
        <v>426</v>
      </c>
      <c r="T41" s="12">
        <f t="shared" si="5"/>
        <v>46381</v>
      </c>
      <c r="U41" s="12">
        <f t="shared" si="6"/>
        <v>46384</v>
      </c>
      <c r="V41" s="16"/>
      <c r="W41" s="7" t="str">
        <f t="shared" si="7"/>
        <v/>
      </c>
      <c r="X41" s="17"/>
      <c r="Y41" s="17" t="s">
        <v>82</v>
      </c>
      <c r="Z41" s="18"/>
      <c r="AA41" s="18"/>
    </row>
    <row r="42" spans="1:27" ht="30.75" customHeight="1" x14ac:dyDescent="0.3">
      <c r="A42" s="7">
        <v>38</v>
      </c>
      <c r="B42" s="7" t="s">
        <v>591</v>
      </c>
      <c r="C42" s="7">
        <f>MATCH(D42,Tong_quan!$B$27:$B$39,1)</f>
        <v>13</v>
      </c>
      <c r="D42" s="12">
        <f>DATE(2026,12,30)</f>
        <v>46386</v>
      </c>
      <c r="E42" s="7" t="str">
        <f t="shared" si="4"/>
        <v>Thứ 4</v>
      </c>
      <c r="F42" s="23" t="s">
        <v>90</v>
      </c>
      <c r="G42" s="7" t="s">
        <v>91</v>
      </c>
      <c r="H42" s="1" t="s">
        <v>592</v>
      </c>
      <c r="I42" s="7" t="str">
        <f>INDEX(Tong_quan!$D$27:$D$39,C42)</f>
        <v>Triển khai</v>
      </c>
      <c r="J42" s="3" t="s">
        <v>20</v>
      </c>
      <c r="K42" s="3" t="s">
        <v>92</v>
      </c>
      <c r="L42" s="3" t="s">
        <v>593</v>
      </c>
      <c r="M42" s="3" t="s">
        <v>501</v>
      </c>
      <c r="N42" s="3" t="s">
        <v>95</v>
      </c>
      <c r="O42" s="7" t="s">
        <v>96</v>
      </c>
      <c r="P42" s="3" t="s">
        <v>594</v>
      </c>
      <c r="Q42" s="3" t="s">
        <v>432</v>
      </c>
      <c r="R42" s="3" t="s">
        <v>426</v>
      </c>
      <c r="S42" s="3" t="s">
        <v>425</v>
      </c>
      <c r="T42" s="12">
        <f t="shared" si="5"/>
        <v>46384</v>
      </c>
      <c r="U42" s="12">
        <f t="shared" si="6"/>
        <v>46385</v>
      </c>
      <c r="V42" s="16"/>
      <c r="W42" s="7" t="str">
        <f t="shared" si="7"/>
        <v/>
      </c>
      <c r="X42" s="17"/>
      <c r="Y42" s="17" t="s">
        <v>82</v>
      </c>
      <c r="Z42" s="18"/>
      <c r="AA42" s="18"/>
    </row>
    <row r="43" spans="1:27" ht="30.75" customHeight="1" x14ac:dyDescent="0.3">
      <c r="A43" s="7">
        <v>39</v>
      </c>
      <c r="B43" s="7" t="s">
        <v>595</v>
      </c>
      <c r="C43" s="7">
        <f>MATCH(D43,Tong_quan!$B$27:$B$39,1)</f>
        <v>13</v>
      </c>
      <c r="D43" s="12">
        <f>DATE(2026,12,31)</f>
        <v>46387</v>
      </c>
      <c r="E43" s="7" t="str">
        <f t="shared" si="0"/>
        <v>Thứ 5</v>
      </c>
      <c r="F43" s="23" t="s">
        <v>84</v>
      </c>
      <c r="G43" s="7" t="s">
        <v>85</v>
      </c>
      <c r="H43" s="1" t="s">
        <v>596</v>
      </c>
      <c r="I43" s="7" t="str">
        <f>INDEX(Tong_quan!$D$27:$D$39,C43)</f>
        <v>Triển khai</v>
      </c>
      <c r="J43" s="3" t="s">
        <v>20</v>
      </c>
      <c r="K43" s="3" t="s">
        <v>118</v>
      </c>
      <c r="L43" s="3" t="s">
        <v>597</v>
      </c>
      <c r="M43" s="3" t="s">
        <v>598</v>
      </c>
      <c r="N43" s="3" t="s">
        <v>104</v>
      </c>
      <c r="O43" s="7" t="s">
        <v>145</v>
      </c>
      <c r="P43" s="3" t="s">
        <v>594</v>
      </c>
      <c r="Q43" s="3" t="s">
        <v>425</v>
      </c>
      <c r="R43" s="3" t="s">
        <v>426</v>
      </c>
      <c r="S43" s="3" t="s">
        <v>426</v>
      </c>
      <c r="T43" s="12">
        <f t="shared" si="1"/>
        <v>46385</v>
      </c>
      <c r="U43" s="12">
        <f t="shared" si="2"/>
        <v>46386</v>
      </c>
      <c r="V43" s="16"/>
      <c r="W43" s="7" t="str">
        <f t="shared" si="3"/>
        <v/>
      </c>
      <c r="X43" s="17"/>
      <c r="Y43" s="17" t="s">
        <v>82</v>
      </c>
      <c r="Z43" s="18"/>
      <c r="AA43" s="18"/>
    </row>
  </sheetData>
  <autoFilter ref="A4:AA43" xr:uid="{00000000-0009-0000-0000-000001000000}"/>
  <mergeCells count="1">
    <mergeCell ref="A2:L2"/>
  </mergeCells>
  <conditionalFormatting sqref="A5:U43">
    <cfRule type="expression" dxfId="5" priority="2">
      <formula>ISEVEN($C5)</formula>
    </cfRule>
  </conditionalFormatting>
  <conditionalFormatting sqref="W5:W43">
    <cfRule type="cellIs" dxfId="4" priority="3" operator="equal">
      <formula>"Trễ"</formula>
    </cfRule>
    <cfRule type="cellIs" dxfId="3" priority="4" operator="equal">
      <formula>"Đúng hạn"</formula>
    </cfRule>
  </conditionalFormatting>
  <conditionalFormatting sqref="Y5:Y43">
    <cfRule type="cellIs" dxfId="2" priority="5" operator="equal">
      <formula>"Đã duyệt"</formula>
    </cfRule>
    <cfRule type="cellIs" dxfId="1" priority="6" operator="equal">
      <formula>"Đã đăng (mô phỏng)"</formula>
    </cfRule>
    <cfRule type="cellIs" dxfId="0" priority="7" operator="equal">
      <formula>"Hoãn/đổi lịch"</formula>
    </cfRule>
  </conditionalFormatting>
  <dataValidations count="3">
    <dataValidation type="list" allowBlank="1" sqref="Y5:Y43" xr:uid="{00000000-0002-0000-0100-000000000000}">
      <formula1>"Chưa làm,Đang soạn (AI nháp),Chờ duyệt,Đã duyệt,Đã đăng (mô phỏng),Hoãn/đổi lịch"</formula1>
      <formula2>0</formula2>
    </dataValidation>
    <dataValidation type="list" allowBlank="1" sqref="X5:X43" xr:uid="{00000000-0002-0000-0100-000001000000}">
      <formula1>"Đạt,Chưa đạt"</formula1>
      <formula2>0</formula2>
    </dataValidation>
    <dataValidation type="date" allowBlank="1" error="Nhập ngày dạng dd/mm/yyyy" sqref="V5:V43" xr:uid="{00000000-0002-0000-0100-000002000000}">
      <formula1>DATE(2026,8,1)</formula1>
      <formula2>DATE(2026,12,31)</formula2>
    </dataValidation>
  </dataValidations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30"/>
  <sheetViews>
    <sheetView showGridLines="0" zoomScaleNormal="100" workbookViewId="0"/>
  </sheetViews>
  <sheetFormatPr defaultColWidth="8.6640625" defaultRowHeight="14.4" x14ac:dyDescent="0.3"/>
  <cols>
    <col min="1" max="1" width="6" customWidth="1"/>
    <col min="2" max="2" width="30" customWidth="1"/>
    <col min="3" max="4" width="22" customWidth="1"/>
    <col min="5" max="5" width="30" customWidth="1"/>
    <col min="6" max="6" width="24" customWidth="1"/>
    <col min="7" max="7" width="26" customWidth="1"/>
    <col min="8" max="8" width="30" customWidth="1"/>
  </cols>
  <sheetData>
    <row r="1" spans="1:8" ht="17.399999999999999" x14ac:dyDescent="0.3">
      <c r="A1" s="4" t="s">
        <v>147</v>
      </c>
    </row>
    <row r="2" spans="1:8" ht="30" customHeight="1" x14ac:dyDescent="0.3">
      <c r="A2" s="28" t="s">
        <v>148</v>
      </c>
      <c r="B2" s="28"/>
      <c r="C2" s="28"/>
      <c r="D2" s="28"/>
      <c r="E2" s="28"/>
      <c r="F2" s="28"/>
      <c r="G2" s="28"/>
      <c r="H2" s="28"/>
    </row>
    <row r="4" spans="1:8" x14ac:dyDescent="0.3">
      <c r="A4" s="5" t="s">
        <v>149</v>
      </c>
      <c r="B4" s="6"/>
      <c r="C4" s="6"/>
      <c r="D4" s="6"/>
      <c r="E4" s="6"/>
      <c r="F4" s="6"/>
      <c r="G4" s="6"/>
      <c r="H4" s="6"/>
    </row>
    <row r="5" spans="1:8" x14ac:dyDescent="0.3">
      <c r="A5" s="2" t="s">
        <v>150</v>
      </c>
      <c r="B5" s="2" t="s">
        <v>151</v>
      </c>
      <c r="C5" s="2" t="s">
        <v>152</v>
      </c>
      <c r="D5" s="2" t="s">
        <v>153</v>
      </c>
      <c r="E5" s="2" t="s">
        <v>154</v>
      </c>
      <c r="F5" s="2" t="s">
        <v>155</v>
      </c>
      <c r="G5" s="2" t="s">
        <v>156</v>
      </c>
      <c r="H5" s="2" t="s">
        <v>157</v>
      </c>
    </row>
    <row r="6" spans="1:8" ht="43.5" customHeight="1" x14ac:dyDescent="0.3">
      <c r="A6" s="7">
        <v>1</v>
      </c>
      <c r="B6" s="3" t="s">
        <v>158</v>
      </c>
      <c r="C6" s="3" t="s">
        <v>159</v>
      </c>
      <c r="D6" s="3" t="s">
        <v>160</v>
      </c>
      <c r="E6" s="3" t="s">
        <v>161</v>
      </c>
      <c r="F6" s="3" t="s">
        <v>162</v>
      </c>
      <c r="G6" s="3" t="s">
        <v>163</v>
      </c>
      <c r="H6" s="3" t="s">
        <v>164</v>
      </c>
    </row>
    <row r="7" spans="1:8" ht="43.5" customHeight="1" x14ac:dyDescent="0.3">
      <c r="A7" s="7">
        <v>2</v>
      </c>
      <c r="B7" s="3" t="s">
        <v>165</v>
      </c>
      <c r="C7" s="3" t="s">
        <v>166</v>
      </c>
      <c r="D7" s="3" t="s">
        <v>104</v>
      </c>
      <c r="E7" s="3" t="s">
        <v>167</v>
      </c>
      <c r="F7" s="3" t="s">
        <v>168</v>
      </c>
      <c r="G7" s="3" t="s">
        <v>169</v>
      </c>
      <c r="H7" s="3" t="s">
        <v>170</v>
      </c>
    </row>
    <row r="8" spans="1:8" ht="43.5" customHeight="1" x14ac:dyDescent="0.3">
      <c r="A8" s="7">
        <v>3</v>
      </c>
      <c r="B8" s="3" t="s">
        <v>171</v>
      </c>
      <c r="C8" s="3" t="s">
        <v>166</v>
      </c>
      <c r="D8" s="3" t="s">
        <v>172</v>
      </c>
      <c r="E8" s="3" t="s">
        <v>173</v>
      </c>
      <c r="F8" s="3" t="s">
        <v>174</v>
      </c>
      <c r="G8" s="3" t="s">
        <v>169</v>
      </c>
      <c r="H8" s="3" t="s">
        <v>175</v>
      </c>
    </row>
    <row r="9" spans="1:8" ht="43.5" customHeight="1" x14ac:dyDescent="0.3">
      <c r="A9" s="7">
        <v>4</v>
      </c>
      <c r="B9" s="3" t="s">
        <v>176</v>
      </c>
      <c r="C9" s="3" t="s">
        <v>177</v>
      </c>
      <c r="D9" s="3" t="s">
        <v>178</v>
      </c>
      <c r="E9" s="3" t="s">
        <v>179</v>
      </c>
      <c r="F9" s="3" t="s">
        <v>180</v>
      </c>
      <c r="G9" s="3" t="s">
        <v>181</v>
      </c>
      <c r="H9" s="3" t="s">
        <v>182</v>
      </c>
    </row>
    <row r="10" spans="1:8" ht="43.5" customHeight="1" x14ac:dyDescent="0.3">
      <c r="A10" s="7">
        <v>5</v>
      </c>
      <c r="B10" s="3" t="s">
        <v>183</v>
      </c>
      <c r="C10" s="3" t="s">
        <v>184</v>
      </c>
      <c r="D10" s="3" t="s">
        <v>185</v>
      </c>
      <c r="E10" s="3" t="s">
        <v>180</v>
      </c>
      <c r="F10" s="3" t="s">
        <v>186</v>
      </c>
      <c r="G10" s="3" t="s">
        <v>187</v>
      </c>
      <c r="H10" s="3" t="s">
        <v>188</v>
      </c>
    </row>
    <row r="11" spans="1:8" ht="43.5" customHeight="1" x14ac:dyDescent="0.3">
      <c r="A11" s="7">
        <v>6</v>
      </c>
      <c r="B11" s="3" t="s">
        <v>189</v>
      </c>
      <c r="C11" s="3" t="s">
        <v>66</v>
      </c>
      <c r="D11" s="3" t="s">
        <v>190</v>
      </c>
      <c r="E11" s="3" t="s">
        <v>186</v>
      </c>
      <c r="F11" s="3" t="s">
        <v>191</v>
      </c>
      <c r="G11" s="3" t="s">
        <v>192</v>
      </c>
      <c r="H11" s="3" t="s">
        <v>193</v>
      </c>
    </row>
    <row r="12" spans="1:8" ht="43.5" customHeight="1" x14ac:dyDescent="0.3">
      <c r="A12" s="7">
        <v>7</v>
      </c>
      <c r="B12" s="3" t="s">
        <v>194</v>
      </c>
      <c r="C12" s="3" t="s">
        <v>159</v>
      </c>
      <c r="D12" s="3" t="s">
        <v>195</v>
      </c>
      <c r="E12" s="3" t="s">
        <v>191</v>
      </c>
      <c r="F12" s="3" t="s">
        <v>196</v>
      </c>
      <c r="G12" s="3" t="s">
        <v>197</v>
      </c>
      <c r="H12" s="3" t="s">
        <v>198</v>
      </c>
    </row>
    <row r="13" spans="1:8" ht="30" customHeight="1" x14ac:dyDescent="0.3">
      <c r="A13" s="29" t="s">
        <v>622</v>
      </c>
      <c r="B13" s="29"/>
      <c r="C13" s="29"/>
      <c r="D13" s="29"/>
      <c r="E13" s="29"/>
      <c r="F13" s="29"/>
      <c r="G13" s="29"/>
      <c r="H13" s="29"/>
    </row>
    <row r="15" spans="1:8" x14ac:dyDescent="0.3">
      <c r="A15" s="5" t="s">
        <v>199</v>
      </c>
      <c r="B15" s="6"/>
      <c r="C15" s="6"/>
      <c r="D15" s="6"/>
      <c r="E15" s="6"/>
      <c r="F15" s="6"/>
      <c r="G15" s="6"/>
      <c r="H15" s="6"/>
    </row>
    <row r="16" spans="1:8" ht="15" customHeight="1" x14ac:dyDescent="0.3">
      <c r="A16" s="2"/>
      <c r="B16" s="27" t="s">
        <v>200</v>
      </c>
      <c r="C16" s="27"/>
      <c r="D16" s="27"/>
      <c r="E16" s="27" t="s">
        <v>201</v>
      </c>
      <c r="F16" s="27"/>
      <c r="G16" s="27"/>
      <c r="H16" s="27"/>
    </row>
    <row r="17" spans="1:8" ht="30" customHeight="1" x14ac:dyDescent="0.3">
      <c r="A17" s="7">
        <v>1</v>
      </c>
      <c r="B17" s="26" t="s">
        <v>202</v>
      </c>
      <c r="C17" s="26"/>
      <c r="D17" s="26"/>
      <c r="E17" s="26" t="s">
        <v>203</v>
      </c>
      <c r="F17" s="26"/>
      <c r="G17" s="26"/>
      <c r="H17" s="26"/>
    </row>
    <row r="18" spans="1:8" ht="30" customHeight="1" x14ac:dyDescent="0.3">
      <c r="A18" s="7">
        <v>2</v>
      </c>
      <c r="B18" s="26" t="s">
        <v>623</v>
      </c>
      <c r="C18" s="26"/>
      <c r="D18" s="26"/>
      <c r="E18" s="26" t="s">
        <v>204</v>
      </c>
      <c r="F18" s="26"/>
      <c r="G18" s="26"/>
      <c r="H18" s="26"/>
    </row>
    <row r="19" spans="1:8" ht="30" customHeight="1" x14ac:dyDescent="0.3">
      <c r="A19" s="7">
        <v>3</v>
      </c>
      <c r="B19" s="26" t="s">
        <v>205</v>
      </c>
      <c r="C19" s="26"/>
      <c r="D19" s="26"/>
      <c r="E19" s="26" t="s">
        <v>206</v>
      </c>
      <c r="F19" s="26"/>
      <c r="G19" s="26"/>
      <c r="H19" s="26"/>
    </row>
    <row r="20" spans="1:8" ht="30" customHeight="1" x14ac:dyDescent="0.3">
      <c r="A20" s="7">
        <v>4</v>
      </c>
      <c r="B20" s="26" t="s">
        <v>207</v>
      </c>
      <c r="C20" s="26"/>
      <c r="D20" s="26"/>
      <c r="E20" s="26" t="s">
        <v>208</v>
      </c>
      <c r="F20" s="26"/>
      <c r="G20" s="26"/>
      <c r="H20" s="26"/>
    </row>
    <row r="21" spans="1:8" ht="30" customHeight="1" x14ac:dyDescent="0.3">
      <c r="A21" s="7">
        <v>5</v>
      </c>
      <c r="B21" s="26" t="s">
        <v>209</v>
      </c>
      <c r="C21" s="26"/>
      <c r="D21" s="26"/>
      <c r="E21" s="26" t="s">
        <v>210</v>
      </c>
      <c r="F21" s="26"/>
      <c r="G21" s="26"/>
      <c r="H21" s="26"/>
    </row>
    <row r="22" spans="1:8" ht="30" customHeight="1" x14ac:dyDescent="0.3">
      <c r="A22" s="7">
        <v>6</v>
      </c>
      <c r="B22" s="26" t="s">
        <v>211</v>
      </c>
      <c r="C22" s="26"/>
      <c r="D22" s="26"/>
      <c r="E22" s="26" t="s">
        <v>212</v>
      </c>
      <c r="F22" s="26"/>
      <c r="G22" s="26"/>
      <c r="H22" s="26"/>
    </row>
    <row r="24" spans="1:8" x14ac:dyDescent="0.3">
      <c r="A24" s="5" t="s">
        <v>213</v>
      </c>
      <c r="B24" s="6"/>
      <c r="C24" s="6"/>
      <c r="D24" s="6"/>
      <c r="E24" s="6"/>
      <c r="F24" s="6"/>
      <c r="G24" s="6"/>
      <c r="H24" s="6"/>
    </row>
    <row r="25" spans="1:8" ht="15" customHeight="1" x14ac:dyDescent="0.3">
      <c r="A25" s="2"/>
      <c r="B25" s="2" t="s">
        <v>153</v>
      </c>
      <c r="C25" s="27" t="s">
        <v>214</v>
      </c>
      <c r="D25" s="27"/>
      <c r="E25" s="2" t="s">
        <v>5</v>
      </c>
      <c r="F25" s="2" t="s">
        <v>215</v>
      </c>
      <c r="G25" s="27" t="s">
        <v>216</v>
      </c>
      <c r="H25" s="27"/>
    </row>
    <row r="26" spans="1:8" ht="30" customHeight="1" x14ac:dyDescent="0.3">
      <c r="A26" s="7">
        <v>1</v>
      </c>
      <c r="B26" s="1" t="s">
        <v>217</v>
      </c>
      <c r="C26" s="26" t="s">
        <v>218</v>
      </c>
      <c r="D26" s="26"/>
      <c r="E26" s="3" t="s">
        <v>219</v>
      </c>
      <c r="F26" s="3" t="s">
        <v>220</v>
      </c>
      <c r="G26" s="26" t="s">
        <v>221</v>
      </c>
      <c r="H26" s="26"/>
    </row>
    <row r="27" spans="1:8" ht="30" customHeight="1" x14ac:dyDescent="0.3">
      <c r="A27" s="7">
        <v>2</v>
      </c>
      <c r="B27" s="1" t="s">
        <v>222</v>
      </c>
      <c r="C27" s="26" t="s">
        <v>223</v>
      </c>
      <c r="D27" s="26"/>
      <c r="E27" s="3" t="s">
        <v>224</v>
      </c>
      <c r="F27" s="3" t="s">
        <v>225</v>
      </c>
      <c r="G27" s="26" t="s">
        <v>624</v>
      </c>
      <c r="H27" s="26"/>
    </row>
    <row r="28" spans="1:8" ht="30" customHeight="1" x14ac:dyDescent="0.3">
      <c r="A28" s="7">
        <v>3</v>
      </c>
      <c r="B28" s="1" t="s">
        <v>226</v>
      </c>
      <c r="C28" s="26" t="s">
        <v>227</v>
      </c>
      <c r="D28" s="26"/>
      <c r="E28" s="3" t="s">
        <v>228</v>
      </c>
      <c r="F28" s="3" t="s">
        <v>229</v>
      </c>
      <c r="G28" s="26" t="s">
        <v>230</v>
      </c>
      <c r="H28" s="26"/>
    </row>
    <row r="29" spans="1:8" ht="30" customHeight="1" x14ac:dyDescent="0.3">
      <c r="A29" s="7">
        <v>4</v>
      </c>
      <c r="B29" s="1" t="s">
        <v>231</v>
      </c>
      <c r="C29" s="26" t="s">
        <v>232</v>
      </c>
      <c r="D29" s="26"/>
      <c r="E29" s="3" t="s">
        <v>228</v>
      </c>
      <c r="F29" s="3" t="s">
        <v>233</v>
      </c>
      <c r="G29" s="26" t="s">
        <v>234</v>
      </c>
      <c r="H29" s="26"/>
    </row>
    <row r="30" spans="1:8" ht="27.75" customHeight="1" x14ac:dyDescent="0.3">
      <c r="A30" s="29" t="s">
        <v>235</v>
      </c>
      <c r="B30" s="29"/>
      <c r="C30" s="29"/>
      <c r="D30" s="29"/>
      <c r="E30" s="29"/>
      <c r="F30" s="29"/>
      <c r="G30" s="29"/>
      <c r="H30" s="29"/>
    </row>
  </sheetData>
  <mergeCells count="27">
    <mergeCell ref="A2:H2"/>
    <mergeCell ref="A13:H13"/>
    <mergeCell ref="B16:D16"/>
    <mergeCell ref="E16:H16"/>
    <mergeCell ref="B17:D17"/>
    <mergeCell ref="E17:H17"/>
    <mergeCell ref="B18:D18"/>
    <mergeCell ref="E18:H18"/>
    <mergeCell ref="B19:D19"/>
    <mergeCell ref="E19:H19"/>
    <mergeCell ref="B20:D20"/>
    <mergeCell ref="E20:H20"/>
    <mergeCell ref="B21:D21"/>
    <mergeCell ref="E21:H21"/>
    <mergeCell ref="B22:D22"/>
    <mergeCell ref="E22:H22"/>
    <mergeCell ref="C25:D25"/>
    <mergeCell ref="G25:H25"/>
    <mergeCell ref="C29:D29"/>
    <mergeCell ref="G29:H29"/>
    <mergeCell ref="A30:H30"/>
    <mergeCell ref="C26:D26"/>
    <mergeCell ref="G26:H26"/>
    <mergeCell ref="C27:D27"/>
    <mergeCell ref="G27:H27"/>
    <mergeCell ref="C28:D28"/>
    <mergeCell ref="G28:H28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24"/>
  <sheetViews>
    <sheetView showGridLines="0" zoomScaleNormal="100" workbookViewId="0"/>
  </sheetViews>
  <sheetFormatPr defaultColWidth="8.6640625" defaultRowHeight="14.4" x14ac:dyDescent="0.3"/>
  <cols>
    <col min="1" max="1" width="8" customWidth="1"/>
    <col min="2" max="2" width="24" customWidth="1"/>
    <col min="3" max="3" width="22" customWidth="1"/>
    <col min="4" max="4" width="70" customWidth="1"/>
    <col min="5" max="5" width="24" customWidth="1"/>
    <col min="6" max="6" width="32" customWidth="1"/>
  </cols>
  <sheetData>
    <row r="1" spans="1:6" ht="17.399999999999999" x14ac:dyDescent="0.3">
      <c r="A1" s="4" t="s">
        <v>236</v>
      </c>
    </row>
    <row r="2" spans="1:6" ht="30" customHeight="1" x14ac:dyDescent="0.3">
      <c r="A2" s="28" t="s">
        <v>237</v>
      </c>
      <c r="B2" s="28"/>
      <c r="C2" s="28"/>
      <c r="D2" s="28"/>
      <c r="E2" s="28"/>
      <c r="F2" s="28"/>
    </row>
    <row r="4" spans="1:6" x14ac:dyDescent="0.3">
      <c r="A4" s="5" t="s">
        <v>238</v>
      </c>
      <c r="B4" s="6"/>
      <c r="C4" s="6"/>
      <c r="D4" s="6"/>
      <c r="E4" s="6"/>
      <c r="F4" s="6"/>
    </row>
    <row r="5" spans="1:6" ht="15" customHeight="1" x14ac:dyDescent="0.3">
      <c r="A5" s="2" t="s">
        <v>239</v>
      </c>
      <c r="B5" s="2" t="s">
        <v>240</v>
      </c>
      <c r="C5" s="27" t="s">
        <v>625</v>
      </c>
      <c r="D5" s="27"/>
      <c r="E5" s="27"/>
      <c r="F5" s="27"/>
    </row>
    <row r="6" spans="1:6" ht="21" customHeight="1" x14ac:dyDescent="0.3">
      <c r="A6" s="1" t="s">
        <v>241</v>
      </c>
      <c r="B6" s="3" t="s">
        <v>242</v>
      </c>
      <c r="C6" s="26" t="s">
        <v>626</v>
      </c>
      <c r="D6" s="26"/>
      <c r="E6" s="26"/>
      <c r="F6" s="26"/>
    </row>
    <row r="7" spans="1:6" ht="21" customHeight="1" x14ac:dyDescent="0.3">
      <c r="A7" s="1" t="s">
        <v>243</v>
      </c>
      <c r="B7" s="3" t="s">
        <v>244</v>
      </c>
      <c r="C7" s="26" t="s">
        <v>627</v>
      </c>
      <c r="D7" s="26"/>
      <c r="E7" s="26"/>
      <c r="F7" s="26"/>
    </row>
    <row r="8" spans="1:6" ht="51" customHeight="1" x14ac:dyDescent="0.3">
      <c r="A8" s="1" t="s">
        <v>245</v>
      </c>
      <c r="B8" s="3" t="s">
        <v>246</v>
      </c>
      <c r="C8" s="26" t="s">
        <v>628</v>
      </c>
      <c r="D8" s="26"/>
      <c r="E8" s="26"/>
      <c r="F8" s="26"/>
    </row>
    <row r="9" spans="1:6" ht="21" customHeight="1" x14ac:dyDescent="0.3">
      <c r="A9" s="1" t="s">
        <v>247</v>
      </c>
      <c r="B9" s="3" t="s">
        <v>248</v>
      </c>
      <c r="C9" s="26" t="s">
        <v>629</v>
      </c>
      <c r="D9" s="26"/>
      <c r="E9" s="26"/>
      <c r="F9" s="26"/>
    </row>
    <row r="10" spans="1:6" ht="21" customHeight="1" x14ac:dyDescent="0.3">
      <c r="A10" s="1" t="s">
        <v>249</v>
      </c>
      <c r="B10" s="3" t="s">
        <v>250</v>
      </c>
      <c r="C10" s="26" t="s">
        <v>630</v>
      </c>
      <c r="D10" s="26"/>
      <c r="E10" s="26"/>
      <c r="F10" s="26"/>
    </row>
    <row r="11" spans="1:6" ht="21" customHeight="1" x14ac:dyDescent="0.3">
      <c r="A11" s="1" t="s">
        <v>251</v>
      </c>
      <c r="B11" s="3" t="s">
        <v>252</v>
      </c>
      <c r="C11" s="26" t="s">
        <v>631</v>
      </c>
      <c r="D11" s="26"/>
      <c r="E11" s="26"/>
      <c r="F11" s="26"/>
    </row>
    <row r="13" spans="1:6" x14ac:dyDescent="0.3">
      <c r="A13" s="5" t="s">
        <v>62</v>
      </c>
      <c r="B13" s="6"/>
      <c r="C13" s="6"/>
      <c r="D13" s="6"/>
      <c r="E13" s="6"/>
      <c r="F13" s="6"/>
    </row>
    <row r="14" spans="1:6" x14ac:dyDescent="0.3">
      <c r="A14" s="2" t="s">
        <v>253</v>
      </c>
      <c r="B14" s="2" t="s">
        <v>254</v>
      </c>
      <c r="C14" s="2" t="s">
        <v>153</v>
      </c>
      <c r="D14" s="2" t="s">
        <v>62</v>
      </c>
      <c r="E14" s="2" t="s">
        <v>255</v>
      </c>
      <c r="F14" s="2" t="s">
        <v>256</v>
      </c>
    </row>
    <row r="15" spans="1:6" ht="120" customHeight="1" x14ac:dyDescent="0.3">
      <c r="A15" s="10" t="s">
        <v>143</v>
      </c>
      <c r="B15" s="3" t="s">
        <v>257</v>
      </c>
      <c r="C15" s="3" t="s">
        <v>104</v>
      </c>
      <c r="D15" s="3" t="s">
        <v>632</v>
      </c>
      <c r="E15" s="3" t="s">
        <v>258</v>
      </c>
      <c r="F15" s="3" t="s">
        <v>259</v>
      </c>
    </row>
    <row r="16" spans="1:6" ht="90" customHeight="1" x14ac:dyDescent="0.3">
      <c r="A16" s="10" t="s">
        <v>260</v>
      </c>
      <c r="B16" s="3" t="s">
        <v>261</v>
      </c>
      <c r="C16" s="3" t="s">
        <v>104</v>
      </c>
      <c r="D16" s="3" t="s">
        <v>262</v>
      </c>
      <c r="E16" s="3" t="s">
        <v>263</v>
      </c>
      <c r="F16" s="3" t="s">
        <v>264</v>
      </c>
    </row>
    <row r="17" spans="1:6" ht="105" customHeight="1" x14ac:dyDescent="0.3">
      <c r="A17" s="10" t="s">
        <v>125</v>
      </c>
      <c r="B17" s="3" t="s">
        <v>265</v>
      </c>
      <c r="C17" s="3" t="s">
        <v>104</v>
      </c>
      <c r="D17" s="3" t="s">
        <v>633</v>
      </c>
      <c r="E17" s="3" t="s">
        <v>266</v>
      </c>
      <c r="F17" s="3" t="s">
        <v>267</v>
      </c>
    </row>
    <row r="18" spans="1:6" ht="90" customHeight="1" x14ac:dyDescent="0.3">
      <c r="A18" s="10" t="s">
        <v>268</v>
      </c>
      <c r="B18" s="3" t="s">
        <v>269</v>
      </c>
      <c r="C18" s="3" t="s">
        <v>104</v>
      </c>
      <c r="D18" s="3" t="s">
        <v>270</v>
      </c>
      <c r="E18" s="3" t="s">
        <v>634</v>
      </c>
      <c r="F18" s="3" t="s">
        <v>271</v>
      </c>
    </row>
    <row r="19" spans="1:6" ht="75" customHeight="1" x14ac:dyDescent="0.3">
      <c r="A19" s="10" t="s">
        <v>113</v>
      </c>
      <c r="B19" s="3" t="s">
        <v>272</v>
      </c>
      <c r="C19" s="3" t="s">
        <v>273</v>
      </c>
      <c r="D19" s="3" t="s">
        <v>274</v>
      </c>
      <c r="E19" s="3" t="s">
        <v>275</v>
      </c>
      <c r="F19" s="3" t="s">
        <v>276</v>
      </c>
    </row>
    <row r="20" spans="1:6" ht="90" customHeight="1" x14ac:dyDescent="0.3">
      <c r="A20" s="10" t="s">
        <v>277</v>
      </c>
      <c r="B20" s="3" t="s">
        <v>278</v>
      </c>
      <c r="C20" s="3" t="s">
        <v>279</v>
      </c>
      <c r="D20" s="3" t="s">
        <v>635</v>
      </c>
      <c r="E20" s="3" t="s">
        <v>280</v>
      </c>
      <c r="F20" s="3" t="s">
        <v>281</v>
      </c>
    </row>
    <row r="21" spans="1:6" ht="60" customHeight="1" x14ac:dyDescent="0.3">
      <c r="A21" s="10" t="s">
        <v>282</v>
      </c>
      <c r="B21" s="3" t="s">
        <v>283</v>
      </c>
      <c r="C21" s="3" t="s">
        <v>104</v>
      </c>
      <c r="D21" s="3" t="s">
        <v>284</v>
      </c>
      <c r="E21" s="3" t="s">
        <v>285</v>
      </c>
      <c r="F21" s="3" t="s">
        <v>286</v>
      </c>
    </row>
    <row r="22" spans="1:6" ht="75" customHeight="1" x14ac:dyDescent="0.3">
      <c r="A22" s="10" t="s">
        <v>287</v>
      </c>
      <c r="B22" s="3" t="s">
        <v>288</v>
      </c>
      <c r="C22" s="3" t="s">
        <v>226</v>
      </c>
      <c r="D22" s="3" t="s">
        <v>636</v>
      </c>
      <c r="E22" s="3" t="s">
        <v>289</v>
      </c>
      <c r="F22" s="3" t="s">
        <v>290</v>
      </c>
    </row>
    <row r="23" spans="1:6" ht="60" customHeight="1" x14ac:dyDescent="0.3">
      <c r="A23" s="10" t="s">
        <v>110</v>
      </c>
      <c r="B23" s="3" t="s">
        <v>637</v>
      </c>
      <c r="C23" s="3" t="s">
        <v>104</v>
      </c>
      <c r="D23" s="3" t="s">
        <v>638</v>
      </c>
      <c r="E23" s="3" t="s">
        <v>639</v>
      </c>
      <c r="F23" s="3" t="s">
        <v>291</v>
      </c>
    </row>
    <row r="24" spans="1:6" ht="75" customHeight="1" x14ac:dyDescent="0.3">
      <c r="A24" s="10" t="s">
        <v>292</v>
      </c>
      <c r="B24" s="3" t="s">
        <v>293</v>
      </c>
      <c r="C24" s="3" t="s">
        <v>104</v>
      </c>
      <c r="D24" s="3" t="s">
        <v>640</v>
      </c>
      <c r="E24" s="3" t="s">
        <v>294</v>
      </c>
      <c r="F24" s="3" t="s">
        <v>295</v>
      </c>
    </row>
  </sheetData>
  <mergeCells count="8">
    <mergeCell ref="C9:F9"/>
    <mergeCell ref="C10:F10"/>
    <mergeCell ref="C11:F11"/>
    <mergeCell ref="A2:F2"/>
    <mergeCell ref="C5:F5"/>
    <mergeCell ref="C6:F6"/>
    <mergeCell ref="C7:F7"/>
    <mergeCell ref="C8:F8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9"/>
  <sheetViews>
    <sheetView showGridLines="0" zoomScaleNormal="100" workbookViewId="0"/>
  </sheetViews>
  <sheetFormatPr defaultColWidth="8.6640625" defaultRowHeight="14.4" x14ac:dyDescent="0.3"/>
  <cols>
    <col min="1" max="1" width="14" customWidth="1"/>
    <col min="2" max="2" width="30" customWidth="1"/>
    <col min="3" max="4" width="26" customWidth="1"/>
    <col min="5" max="5" width="16" customWidth="1"/>
    <col min="6" max="6" width="18" customWidth="1"/>
    <col min="7" max="7" width="22" customWidth="1"/>
    <col min="8" max="8" width="24" customWidth="1"/>
    <col min="9" max="9" width="28" customWidth="1"/>
    <col min="10" max="10" width="8" customWidth="1"/>
  </cols>
  <sheetData>
    <row r="1" spans="1:10" ht="17.399999999999999" x14ac:dyDescent="0.3">
      <c r="A1" s="4" t="s">
        <v>296</v>
      </c>
    </row>
    <row r="2" spans="1:10" ht="30" customHeight="1" x14ac:dyDescent="0.3">
      <c r="A2" s="28" t="s">
        <v>297</v>
      </c>
      <c r="B2" s="28"/>
      <c r="C2" s="28"/>
      <c r="D2" s="28"/>
      <c r="E2" s="28"/>
      <c r="F2" s="28"/>
      <c r="G2" s="28"/>
      <c r="H2" s="28"/>
      <c r="I2" s="28"/>
      <c r="J2" s="28"/>
    </row>
    <row r="4" spans="1:10" x14ac:dyDescent="0.3">
      <c r="A4" s="2" t="s">
        <v>5</v>
      </c>
      <c r="B4" s="2" t="s">
        <v>298</v>
      </c>
      <c r="C4" s="2" t="s">
        <v>299</v>
      </c>
      <c r="D4" s="2" t="s">
        <v>300</v>
      </c>
      <c r="E4" s="2" t="s">
        <v>301</v>
      </c>
      <c r="F4" s="2" t="s">
        <v>302</v>
      </c>
      <c r="G4" s="2" t="s">
        <v>303</v>
      </c>
      <c r="H4" s="2" t="s">
        <v>304</v>
      </c>
      <c r="I4" s="2" t="s">
        <v>305</v>
      </c>
      <c r="J4" s="2" t="s">
        <v>18</v>
      </c>
    </row>
    <row r="5" spans="1:10" ht="43.5" customHeight="1" x14ac:dyDescent="0.3">
      <c r="A5" s="1" t="s">
        <v>77</v>
      </c>
      <c r="B5" s="3" t="s">
        <v>641</v>
      </c>
      <c r="C5" s="3" t="s">
        <v>642</v>
      </c>
      <c r="D5" s="3" t="s">
        <v>306</v>
      </c>
      <c r="E5" s="3" t="s">
        <v>643</v>
      </c>
      <c r="F5" s="3" t="s">
        <v>76</v>
      </c>
      <c r="G5" s="3" t="s">
        <v>307</v>
      </c>
      <c r="H5" s="3" t="s">
        <v>308</v>
      </c>
      <c r="I5" s="3" t="s">
        <v>309</v>
      </c>
      <c r="J5" s="7">
        <f>COUNTIF(Lich_dang!$G$5:$G$43,A5)</f>
        <v>17</v>
      </c>
    </row>
    <row r="6" spans="1:10" ht="43.5" customHeight="1" x14ac:dyDescent="0.3">
      <c r="A6" s="1" t="s">
        <v>91</v>
      </c>
      <c r="B6" s="3" t="s">
        <v>310</v>
      </c>
      <c r="C6" s="3" t="s">
        <v>311</v>
      </c>
      <c r="D6" s="3" t="s">
        <v>312</v>
      </c>
      <c r="E6" s="3" t="s">
        <v>644</v>
      </c>
      <c r="F6" s="24">
        <v>0.79166666666666663</v>
      </c>
      <c r="G6" s="3" t="s">
        <v>313</v>
      </c>
      <c r="H6" s="3" t="s">
        <v>314</v>
      </c>
      <c r="I6" s="3" t="s">
        <v>315</v>
      </c>
      <c r="J6" s="7">
        <f>COUNTIF(Lich_dang!$G$5:$G$43,A6)</f>
        <v>10</v>
      </c>
    </row>
    <row r="7" spans="1:10" ht="43.5" customHeight="1" x14ac:dyDescent="0.3">
      <c r="A7" s="1" t="s">
        <v>85</v>
      </c>
      <c r="B7" s="3" t="s">
        <v>316</v>
      </c>
      <c r="C7" s="3" t="s">
        <v>317</v>
      </c>
      <c r="D7" s="3" t="s">
        <v>318</v>
      </c>
      <c r="E7" s="3" t="s">
        <v>645</v>
      </c>
      <c r="F7" s="24">
        <v>0.33333333333333331</v>
      </c>
      <c r="G7" s="3" t="s">
        <v>319</v>
      </c>
      <c r="H7" s="3" t="s">
        <v>320</v>
      </c>
      <c r="I7" s="3" t="s">
        <v>321</v>
      </c>
      <c r="J7" s="7">
        <f>COUNTIF(Lich_dang!$G$5:$G$43,A7)</f>
        <v>9</v>
      </c>
    </row>
    <row r="8" spans="1:10" ht="43.5" customHeight="1" x14ac:dyDescent="0.3">
      <c r="A8" s="1" t="s">
        <v>107</v>
      </c>
      <c r="B8" s="3" t="s">
        <v>322</v>
      </c>
      <c r="C8" s="3" t="s">
        <v>323</v>
      </c>
      <c r="D8" s="3" t="s">
        <v>324</v>
      </c>
      <c r="E8" s="3" t="s">
        <v>646</v>
      </c>
      <c r="F8" s="3" t="s">
        <v>106</v>
      </c>
      <c r="G8" s="3" t="s">
        <v>325</v>
      </c>
      <c r="H8" s="3" t="s">
        <v>326</v>
      </c>
      <c r="I8" s="3" t="s">
        <v>327</v>
      </c>
      <c r="J8" s="7">
        <f>COUNTIF(Lich_dang!$G$5:$G$43,A8)</f>
        <v>3</v>
      </c>
    </row>
    <row r="9" spans="1:10" x14ac:dyDescent="0.3">
      <c r="A9" s="1" t="s">
        <v>25</v>
      </c>
      <c r="B9" s="9"/>
      <c r="C9" s="9"/>
      <c r="D9" s="9"/>
      <c r="E9" s="9"/>
      <c r="F9" s="9"/>
      <c r="G9" s="9"/>
      <c r="H9" s="9"/>
      <c r="I9" s="9"/>
      <c r="J9" s="10">
        <f>SUM(J5:J8)</f>
        <v>39</v>
      </c>
    </row>
  </sheetData>
  <mergeCells count="1">
    <mergeCell ref="A2:J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17"/>
  <sheetViews>
    <sheetView showGridLines="0" zoomScaleNormal="100" workbookViewId="0"/>
  </sheetViews>
  <sheetFormatPr defaultColWidth="8.6640625" defaultRowHeight="14.4" x14ac:dyDescent="0.3"/>
  <cols>
    <col min="1" max="1" width="6" customWidth="1"/>
    <col min="2" max="2" width="60" customWidth="1"/>
    <col min="3" max="3" width="44" customWidth="1"/>
    <col min="4" max="4" width="18" customWidth="1"/>
    <col min="5" max="5" width="12" customWidth="1"/>
  </cols>
  <sheetData>
    <row r="1" spans="1:5" ht="17.399999999999999" x14ac:dyDescent="0.3">
      <c r="A1" s="4" t="s">
        <v>328</v>
      </c>
    </row>
    <row r="2" spans="1:5" ht="30" customHeight="1" x14ac:dyDescent="0.3">
      <c r="A2" s="28" t="s">
        <v>329</v>
      </c>
      <c r="B2" s="28"/>
      <c r="C2" s="28"/>
      <c r="D2" s="28"/>
      <c r="E2" s="28"/>
    </row>
    <row r="4" spans="1:5" x14ac:dyDescent="0.3">
      <c r="A4" s="2" t="s">
        <v>52</v>
      </c>
      <c r="B4" s="2" t="s">
        <v>330</v>
      </c>
      <c r="C4" s="2" t="s">
        <v>331</v>
      </c>
      <c r="D4" s="2" t="s">
        <v>332</v>
      </c>
      <c r="E4" s="2" t="s">
        <v>333</v>
      </c>
    </row>
    <row r="5" spans="1:5" ht="30" customHeight="1" x14ac:dyDescent="0.3">
      <c r="A5" s="7">
        <v>1</v>
      </c>
      <c r="B5" s="3" t="s">
        <v>334</v>
      </c>
      <c r="C5" s="3" t="s">
        <v>335</v>
      </c>
      <c r="D5" s="3" t="s">
        <v>184</v>
      </c>
      <c r="E5" s="19" t="s">
        <v>336</v>
      </c>
    </row>
    <row r="6" spans="1:5" ht="30" customHeight="1" x14ac:dyDescent="0.3">
      <c r="A6" s="7">
        <v>2</v>
      </c>
      <c r="B6" s="3" t="s">
        <v>337</v>
      </c>
      <c r="C6" s="3" t="s">
        <v>338</v>
      </c>
      <c r="D6" s="3" t="s">
        <v>184</v>
      </c>
      <c r="E6" s="19" t="s">
        <v>336</v>
      </c>
    </row>
    <row r="7" spans="1:5" ht="30" customHeight="1" x14ac:dyDescent="0.3">
      <c r="A7" s="7">
        <v>3</v>
      </c>
      <c r="B7" s="3" t="s">
        <v>647</v>
      </c>
      <c r="C7" s="3" t="s">
        <v>339</v>
      </c>
      <c r="D7" s="3" t="s">
        <v>184</v>
      </c>
      <c r="E7" s="19" t="s">
        <v>336</v>
      </c>
    </row>
    <row r="8" spans="1:5" ht="30" customHeight="1" x14ac:dyDescent="0.3">
      <c r="A8" s="7">
        <v>4</v>
      </c>
      <c r="B8" s="3" t="s">
        <v>648</v>
      </c>
      <c r="C8" s="3" t="s">
        <v>340</v>
      </c>
      <c r="D8" s="3" t="s">
        <v>184</v>
      </c>
      <c r="E8" s="19" t="s">
        <v>336</v>
      </c>
    </row>
    <row r="9" spans="1:5" ht="30" customHeight="1" x14ac:dyDescent="0.3">
      <c r="A9" s="7">
        <v>5</v>
      </c>
      <c r="B9" s="3" t="s">
        <v>649</v>
      </c>
      <c r="C9" s="3" t="s">
        <v>341</v>
      </c>
      <c r="D9" s="3" t="s">
        <v>184</v>
      </c>
      <c r="E9" s="19" t="s">
        <v>336</v>
      </c>
    </row>
    <row r="10" spans="1:5" ht="30" customHeight="1" x14ac:dyDescent="0.3">
      <c r="A10" s="7">
        <v>6</v>
      </c>
      <c r="B10" s="3" t="s">
        <v>342</v>
      </c>
      <c r="C10" s="3" t="s">
        <v>343</v>
      </c>
      <c r="D10" s="3" t="s">
        <v>184</v>
      </c>
      <c r="E10" s="19" t="s">
        <v>336</v>
      </c>
    </row>
    <row r="11" spans="1:5" ht="30" customHeight="1" x14ac:dyDescent="0.3">
      <c r="A11" s="7">
        <v>7</v>
      </c>
      <c r="B11" s="3" t="s">
        <v>344</v>
      </c>
      <c r="C11" s="3" t="s">
        <v>343</v>
      </c>
      <c r="D11" s="3" t="s">
        <v>184</v>
      </c>
      <c r="E11" s="19" t="s">
        <v>336</v>
      </c>
    </row>
    <row r="12" spans="1:5" ht="30" customHeight="1" x14ac:dyDescent="0.3">
      <c r="A12" s="7">
        <v>8</v>
      </c>
      <c r="B12" s="3" t="s">
        <v>345</v>
      </c>
      <c r="C12" s="3" t="s">
        <v>346</v>
      </c>
      <c r="D12" s="3" t="s">
        <v>184</v>
      </c>
      <c r="E12" s="19" t="s">
        <v>336</v>
      </c>
    </row>
    <row r="13" spans="1:5" ht="30" customHeight="1" x14ac:dyDescent="0.3">
      <c r="A13" s="7">
        <v>9</v>
      </c>
      <c r="B13" s="3" t="s">
        <v>347</v>
      </c>
      <c r="C13" s="3" t="s">
        <v>348</v>
      </c>
      <c r="D13" s="3" t="s">
        <v>159</v>
      </c>
      <c r="E13" s="19" t="s">
        <v>336</v>
      </c>
    </row>
    <row r="14" spans="1:5" ht="30" customHeight="1" x14ac:dyDescent="0.3">
      <c r="A14" s="7">
        <v>10</v>
      </c>
      <c r="B14" s="3" t="s">
        <v>650</v>
      </c>
      <c r="C14" s="3" t="s">
        <v>349</v>
      </c>
      <c r="D14" s="3" t="s">
        <v>184</v>
      </c>
      <c r="E14" s="7" t="s">
        <v>350</v>
      </c>
    </row>
    <row r="15" spans="1:5" ht="30" customHeight="1" x14ac:dyDescent="0.3">
      <c r="A15" s="7">
        <v>11</v>
      </c>
      <c r="B15" s="3" t="s">
        <v>351</v>
      </c>
      <c r="C15" s="3" t="s">
        <v>352</v>
      </c>
      <c r="D15" s="3" t="s">
        <v>184</v>
      </c>
      <c r="E15" s="7" t="s">
        <v>350</v>
      </c>
    </row>
    <row r="16" spans="1:5" ht="30" customHeight="1" x14ac:dyDescent="0.3">
      <c r="A16" s="7">
        <v>12</v>
      </c>
      <c r="B16" s="3" t="s">
        <v>353</v>
      </c>
      <c r="C16" s="3" t="s">
        <v>354</v>
      </c>
      <c r="D16" s="3" t="s">
        <v>159</v>
      </c>
      <c r="E16" s="19" t="s">
        <v>336</v>
      </c>
    </row>
    <row r="17" spans="1:5" ht="30" customHeight="1" x14ac:dyDescent="0.3">
      <c r="A17" s="7">
        <v>13</v>
      </c>
      <c r="B17" s="3" t="s">
        <v>599</v>
      </c>
      <c r="C17" s="3" t="s">
        <v>600</v>
      </c>
      <c r="D17" s="3" t="s">
        <v>184</v>
      </c>
      <c r="E17" s="19" t="s">
        <v>336</v>
      </c>
    </row>
  </sheetData>
  <mergeCells count="1">
    <mergeCell ref="A2:E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45"/>
  <sheetViews>
    <sheetView showGridLines="0" zoomScaleNormal="100" workbookViewId="0"/>
  </sheetViews>
  <sheetFormatPr defaultColWidth="8.6640625" defaultRowHeight="14.4" x14ac:dyDescent="0.3"/>
  <cols>
    <col min="1" max="1" width="24" customWidth="1"/>
    <col min="2" max="6" width="14" customWidth="1"/>
    <col min="7" max="7" width="12" customWidth="1"/>
  </cols>
  <sheetData>
    <row r="1" spans="1:7" ht="17.399999999999999" x14ac:dyDescent="0.3">
      <c r="A1" s="4" t="s">
        <v>355</v>
      </c>
    </row>
    <row r="2" spans="1:7" ht="30" customHeight="1" x14ac:dyDescent="0.3">
      <c r="A2" s="28" t="s">
        <v>356</v>
      </c>
      <c r="B2" s="28"/>
      <c r="C2" s="28"/>
      <c r="D2" s="28"/>
      <c r="E2" s="28"/>
      <c r="F2" s="28"/>
      <c r="G2" s="28"/>
    </row>
    <row r="4" spans="1:7" x14ac:dyDescent="0.3">
      <c r="A4" s="5" t="s">
        <v>357</v>
      </c>
      <c r="B4" s="6"/>
      <c r="C4" s="6"/>
      <c r="D4" s="6"/>
      <c r="E4" s="6"/>
      <c r="F4" s="6"/>
      <c r="G4" s="6"/>
    </row>
    <row r="5" spans="1:7" ht="15" customHeight="1" x14ac:dyDescent="0.3">
      <c r="A5" s="27" t="s">
        <v>358</v>
      </c>
      <c r="B5" s="27"/>
      <c r="C5" s="2" t="s">
        <v>359</v>
      </c>
      <c r="D5" s="2" t="s">
        <v>7</v>
      </c>
      <c r="E5" s="27" t="s">
        <v>360</v>
      </c>
      <c r="F5" s="27"/>
      <c r="G5" s="27"/>
    </row>
    <row r="6" spans="1:7" ht="15" customHeight="1" x14ac:dyDescent="0.3">
      <c r="A6" s="30" t="s">
        <v>361</v>
      </c>
      <c r="B6" s="30"/>
      <c r="C6" s="20">
        <f>COUNTA(Lich_dang!$B$5:$B$43)</f>
        <v>39</v>
      </c>
      <c r="D6" s="21">
        <v>39</v>
      </c>
      <c r="E6" s="26" t="s">
        <v>362</v>
      </c>
      <c r="F6" s="26"/>
      <c r="G6" s="26"/>
    </row>
    <row r="7" spans="1:7" ht="15" customHeight="1" x14ac:dyDescent="0.3">
      <c r="A7" s="30" t="s">
        <v>363</v>
      </c>
      <c r="B7" s="30"/>
      <c r="C7" s="20">
        <f>COUNTIF(Lich_dang!$Y$5:$Y$43,"Đã duyệt")+COUNTIF(Lich_dang!$Y$5:$Y$43,"Đã đăng (mô phỏng)")</f>
        <v>0</v>
      </c>
      <c r="D7" s="21">
        <v>39</v>
      </c>
      <c r="E7" s="26" t="s">
        <v>364</v>
      </c>
      <c r="F7" s="26"/>
      <c r="G7" s="26"/>
    </row>
    <row r="8" spans="1:7" ht="15" customHeight="1" x14ac:dyDescent="0.3">
      <c r="A8" s="30" t="s">
        <v>365</v>
      </c>
      <c r="B8" s="30"/>
      <c r="C8" s="8">
        <f>IF(C6=0,0,C7/C6)</f>
        <v>0</v>
      </c>
      <c r="D8" s="22">
        <v>1</v>
      </c>
      <c r="E8" s="26" t="s">
        <v>366</v>
      </c>
      <c r="F8" s="26"/>
      <c r="G8" s="26"/>
    </row>
    <row r="9" spans="1:7" ht="23.85" customHeight="1" x14ac:dyDescent="0.3">
      <c r="A9" s="30" t="s">
        <v>367</v>
      </c>
      <c r="B9" s="30"/>
      <c r="C9" s="8" t="str">
        <f>IF(COUNT(Lich_dang!$V$5:$V$43)=0,"Chưa có dữ liệu",COUNTIF(Lich_dang!$W$5:$W$43,"Đúng hạn")/COUNT(Lich_dang!$V$5:$V$43))</f>
        <v>Chưa có dữ liệu</v>
      </c>
      <c r="D9" s="22">
        <v>0.9</v>
      </c>
      <c r="E9" s="26" t="s">
        <v>368</v>
      </c>
      <c r="F9" s="26"/>
      <c r="G9" s="26"/>
    </row>
    <row r="10" spans="1:7" ht="15" customHeight="1" x14ac:dyDescent="0.3">
      <c r="A10" s="30" t="s">
        <v>369</v>
      </c>
      <c r="B10" s="30"/>
      <c r="C10" s="8">
        <f>IF(C6=0,0,COUNTIF(Lich_dang!$X$5:$X$43,"Đạt")/C6)</f>
        <v>0</v>
      </c>
      <c r="D10" s="22">
        <v>1</v>
      </c>
      <c r="E10" s="26" t="s">
        <v>370</v>
      </c>
      <c r="F10" s="26"/>
      <c r="G10" s="26"/>
    </row>
    <row r="11" spans="1:7" ht="23.85" customHeight="1" x14ac:dyDescent="0.3">
      <c r="A11" s="30" t="s">
        <v>371</v>
      </c>
      <c r="B11" s="30"/>
      <c r="C11" s="20">
        <f ca="1">SUMPRODUCT((Lich_dang!$U$5:$U$43&lt;TODAY())*(Lich_dang!$Y$5:$Y$43&lt;&gt;"Đã duyệt")*(Lich_dang!$Y$5:$Y$43&lt;&gt;"Đã đăng (mô phỏng)")*(Lich_dang!$Y$5:$Y$43&lt;&gt;"Hoãn/đổi lịch"))</f>
        <v>3</v>
      </c>
      <c r="D11" s="21">
        <v>0</v>
      </c>
      <c r="E11" s="26" t="s">
        <v>372</v>
      </c>
      <c r="F11" s="26"/>
      <c r="G11" s="26"/>
    </row>
    <row r="13" spans="1:7" x14ac:dyDescent="0.3">
      <c r="A13" s="5" t="s">
        <v>373</v>
      </c>
      <c r="B13" s="6"/>
      <c r="C13" s="6"/>
      <c r="D13" s="6"/>
      <c r="E13" s="6"/>
      <c r="F13" s="6"/>
      <c r="G13" s="6"/>
    </row>
    <row r="14" spans="1:7" x14ac:dyDescent="0.3">
      <c r="A14" s="2" t="s">
        <v>26</v>
      </c>
      <c r="B14" s="2" t="s">
        <v>385</v>
      </c>
      <c r="C14" s="2" t="s">
        <v>77</v>
      </c>
      <c r="D14" s="2" t="s">
        <v>91</v>
      </c>
      <c r="E14" s="2" t="s">
        <v>85</v>
      </c>
      <c r="F14" s="2" t="s">
        <v>107</v>
      </c>
      <c r="G14" s="2" t="s">
        <v>25</v>
      </c>
    </row>
    <row r="15" spans="1:7" x14ac:dyDescent="0.3">
      <c r="A15" s="7">
        <v>1</v>
      </c>
      <c r="B15" s="7" t="str">
        <f>INDEX(Tong_quan!$D$27:$D$39,A15)</f>
        <v>Khởi động</v>
      </c>
      <c r="C15" s="7">
        <f>COUNTIFS(Lich_dang!$C$5:$C$43,$A15,Lich_dang!$G$5:$G$43,C$14)</f>
        <v>1</v>
      </c>
      <c r="D15" s="7">
        <f>COUNTIFS(Lich_dang!$C$5:$C$43,$A15,Lich_dang!$G$5:$G$43,D$14)</f>
        <v>1</v>
      </c>
      <c r="E15" s="7">
        <f>COUNTIFS(Lich_dang!$C$5:$C$43,$A15,Lich_dang!$G$5:$G$43,E$14)</f>
        <v>1</v>
      </c>
      <c r="F15" s="7">
        <f>COUNTIFS(Lich_dang!$C$5:$C$43,$A15,Lich_dang!$G$5:$G$43,F$14)</f>
        <v>0</v>
      </c>
      <c r="G15" s="10">
        <f t="shared" ref="G15:G27" si="0">SUM(C15:F15)</f>
        <v>3</v>
      </c>
    </row>
    <row r="16" spans="1:7" x14ac:dyDescent="0.3">
      <c r="A16" s="7">
        <v>2</v>
      </c>
      <c r="B16" s="7" t="str">
        <f>INDEX(Tong_quan!$D$27:$D$39,A16)</f>
        <v>Phân tích</v>
      </c>
      <c r="C16" s="7">
        <f>COUNTIFS(Lich_dang!$C$5:$C$43,$A16,Lich_dang!$G$5:$G$43,C$14)</f>
        <v>1</v>
      </c>
      <c r="D16" s="7">
        <f>COUNTIFS(Lich_dang!$C$5:$C$43,$A16,Lich_dang!$G$5:$G$43,D$14)</f>
        <v>1</v>
      </c>
      <c r="E16" s="7">
        <f>COUNTIFS(Lich_dang!$C$5:$C$43,$A16,Lich_dang!$G$5:$G$43,E$14)</f>
        <v>1</v>
      </c>
      <c r="F16" s="7">
        <f>COUNTIFS(Lich_dang!$C$5:$C$43,$A16,Lich_dang!$G$5:$G$43,F$14)</f>
        <v>0</v>
      </c>
      <c r="G16" s="10">
        <f t="shared" si="0"/>
        <v>3</v>
      </c>
    </row>
    <row r="17" spans="1:7" x14ac:dyDescent="0.3">
      <c r="A17" s="7">
        <v>3</v>
      </c>
      <c r="B17" s="7" t="str">
        <f>INDEX(Tong_quan!$D$27:$D$39,A17)</f>
        <v>Phân tích</v>
      </c>
      <c r="C17" s="7">
        <f>COUNTIFS(Lich_dang!$C$5:$C$43,$A17,Lich_dang!$G$5:$G$43,C$14)</f>
        <v>1</v>
      </c>
      <c r="D17" s="7">
        <f>COUNTIFS(Lich_dang!$C$5:$C$43,$A17,Lich_dang!$G$5:$G$43,D$14)</f>
        <v>1</v>
      </c>
      <c r="E17" s="7">
        <f>COUNTIFS(Lich_dang!$C$5:$C$43,$A17,Lich_dang!$G$5:$G$43,E$14)</f>
        <v>1</v>
      </c>
      <c r="F17" s="7">
        <f>COUNTIFS(Lich_dang!$C$5:$C$43,$A17,Lich_dang!$G$5:$G$43,F$14)</f>
        <v>0</v>
      </c>
      <c r="G17" s="10">
        <f t="shared" si="0"/>
        <v>3</v>
      </c>
    </row>
    <row r="18" spans="1:7" ht="26.4" x14ac:dyDescent="0.3">
      <c r="A18" s="7">
        <v>4</v>
      </c>
      <c r="B18" s="7" t="str">
        <f>INDEX(Tong_quan!$D$27:$D$39,A18)</f>
        <v>Phân tích / Thiết kế</v>
      </c>
      <c r="C18" s="7">
        <f>COUNTIFS(Lich_dang!$C$5:$C$43,$A18,Lich_dang!$G$5:$G$43,C$14)</f>
        <v>2</v>
      </c>
      <c r="D18" s="7">
        <f>COUNTIFS(Lich_dang!$C$5:$C$43,$A18,Lich_dang!$G$5:$G$43,D$14)</f>
        <v>0</v>
      </c>
      <c r="E18" s="7">
        <f>COUNTIFS(Lich_dang!$C$5:$C$43,$A18,Lich_dang!$G$5:$G$43,E$14)</f>
        <v>0</v>
      </c>
      <c r="F18" s="7">
        <f>COUNTIFS(Lich_dang!$C$5:$C$43,$A18,Lich_dang!$G$5:$G$43,F$14)</f>
        <v>1</v>
      </c>
      <c r="G18" s="10">
        <f t="shared" si="0"/>
        <v>3</v>
      </c>
    </row>
    <row r="19" spans="1:7" x14ac:dyDescent="0.3">
      <c r="A19" s="7">
        <v>5</v>
      </c>
      <c r="B19" s="7" t="str">
        <f>INDEX(Tong_quan!$D$27:$D$39,A19)</f>
        <v>Thiết kế</v>
      </c>
      <c r="C19" s="7">
        <f>COUNTIFS(Lich_dang!$C$5:$C$43,$A19,Lich_dang!$G$5:$G$43,C$14)</f>
        <v>1</v>
      </c>
      <c r="D19" s="7">
        <f>COUNTIFS(Lich_dang!$C$5:$C$43,$A19,Lich_dang!$G$5:$G$43,D$14)</f>
        <v>1</v>
      </c>
      <c r="E19" s="7">
        <f>COUNTIFS(Lich_dang!$C$5:$C$43,$A19,Lich_dang!$G$5:$G$43,E$14)</f>
        <v>1</v>
      </c>
      <c r="F19" s="7">
        <f>COUNTIFS(Lich_dang!$C$5:$C$43,$A19,Lich_dang!$G$5:$G$43,F$14)</f>
        <v>0</v>
      </c>
      <c r="G19" s="10">
        <f t="shared" si="0"/>
        <v>3</v>
      </c>
    </row>
    <row r="20" spans="1:7" x14ac:dyDescent="0.3">
      <c r="A20" s="7">
        <v>6</v>
      </c>
      <c r="B20" s="7" t="str">
        <f>INDEX(Tong_quan!$D$27:$D$39,A20)</f>
        <v>Phát triển</v>
      </c>
      <c r="C20" s="7">
        <f>COUNTIFS(Lich_dang!$C$5:$C$43,$A20,Lich_dang!$G$5:$G$43,C$14)</f>
        <v>1</v>
      </c>
      <c r="D20" s="7">
        <f>COUNTIFS(Lich_dang!$C$5:$C$43,$A20,Lich_dang!$G$5:$G$43,D$14)</f>
        <v>1</v>
      </c>
      <c r="E20" s="7">
        <f>COUNTIFS(Lich_dang!$C$5:$C$43,$A20,Lich_dang!$G$5:$G$43,E$14)</f>
        <v>1</v>
      </c>
      <c r="F20" s="7">
        <f>COUNTIFS(Lich_dang!$C$5:$C$43,$A20,Lich_dang!$G$5:$G$43,F$14)</f>
        <v>0</v>
      </c>
      <c r="G20" s="10">
        <f t="shared" si="0"/>
        <v>3</v>
      </c>
    </row>
    <row r="21" spans="1:7" x14ac:dyDescent="0.3">
      <c r="A21" s="7">
        <v>7</v>
      </c>
      <c r="B21" s="7" t="str">
        <f>INDEX(Tong_quan!$D$27:$D$39,A21)</f>
        <v>Phát triển</v>
      </c>
      <c r="C21" s="7">
        <f>COUNTIFS(Lich_dang!$C$5:$C$43,$A21,Lich_dang!$G$5:$G$43,C$14)</f>
        <v>2</v>
      </c>
      <c r="D21" s="7">
        <f>COUNTIFS(Lich_dang!$C$5:$C$43,$A21,Lich_dang!$G$5:$G$43,D$14)</f>
        <v>1</v>
      </c>
      <c r="E21" s="7">
        <f>COUNTIFS(Lich_dang!$C$5:$C$43,$A21,Lich_dang!$G$5:$G$43,E$14)</f>
        <v>0</v>
      </c>
      <c r="F21" s="7">
        <f>COUNTIFS(Lich_dang!$C$5:$C$43,$A21,Lich_dang!$G$5:$G$43,F$14)</f>
        <v>0</v>
      </c>
      <c r="G21" s="10">
        <f t="shared" si="0"/>
        <v>3</v>
      </c>
    </row>
    <row r="22" spans="1:7" x14ac:dyDescent="0.3">
      <c r="A22" s="7">
        <v>8</v>
      </c>
      <c r="B22" s="7" t="str">
        <f>INDEX(Tong_quan!$D$27:$D$39,A22)</f>
        <v>Phát triển</v>
      </c>
      <c r="C22" s="7">
        <f>COUNTIFS(Lich_dang!$C$5:$C$43,$A22,Lich_dang!$G$5:$G$43,C$14)</f>
        <v>1</v>
      </c>
      <c r="D22" s="7">
        <f>COUNTIFS(Lich_dang!$C$5:$C$43,$A22,Lich_dang!$G$5:$G$43,D$14)</f>
        <v>0</v>
      </c>
      <c r="E22" s="7">
        <f>COUNTIFS(Lich_dang!$C$5:$C$43,$A22,Lich_dang!$G$5:$G$43,E$14)</f>
        <v>1</v>
      </c>
      <c r="F22" s="7">
        <f>COUNTIFS(Lich_dang!$C$5:$C$43,$A22,Lich_dang!$G$5:$G$43,F$14)</f>
        <v>1</v>
      </c>
      <c r="G22" s="10">
        <f t="shared" ref="G22:G26" si="1">SUM(C22:F22)</f>
        <v>3</v>
      </c>
    </row>
    <row r="23" spans="1:7" ht="26.4" x14ac:dyDescent="0.3">
      <c r="A23" s="7">
        <v>9</v>
      </c>
      <c r="B23" s="7" t="str">
        <f>INDEX(Tong_quan!$D$27:$D$39,A23)</f>
        <v>Phát triển / Kiểm thử</v>
      </c>
      <c r="C23" s="7">
        <f>COUNTIFS(Lich_dang!$C$5:$C$43,$A23,Lich_dang!$G$5:$G$43,C$14)</f>
        <v>1</v>
      </c>
      <c r="D23" s="7">
        <f>COUNTIFS(Lich_dang!$C$5:$C$43,$A23,Lich_dang!$G$5:$G$43,D$14)</f>
        <v>1</v>
      </c>
      <c r="E23" s="7">
        <f>COUNTIFS(Lich_dang!$C$5:$C$43,$A23,Lich_dang!$G$5:$G$43,E$14)</f>
        <v>1</v>
      </c>
      <c r="F23" s="7">
        <f>COUNTIFS(Lich_dang!$C$5:$C$43,$A23,Lich_dang!$G$5:$G$43,F$14)</f>
        <v>0</v>
      </c>
      <c r="G23" s="10">
        <f t="shared" si="1"/>
        <v>3</v>
      </c>
    </row>
    <row r="24" spans="1:7" x14ac:dyDescent="0.3">
      <c r="A24" s="7">
        <v>10</v>
      </c>
      <c r="B24" s="7" t="str">
        <f>INDEX(Tong_quan!$D$27:$D$39,A24)</f>
        <v>Kiểm thử</v>
      </c>
      <c r="C24" s="7">
        <f>COUNTIFS(Lich_dang!$C$5:$C$43,$A24,Lich_dang!$G$5:$G$43,C$14)</f>
        <v>2</v>
      </c>
      <c r="D24" s="7">
        <f>COUNTIFS(Lich_dang!$C$5:$C$43,$A24,Lich_dang!$G$5:$G$43,D$14)</f>
        <v>1</v>
      </c>
      <c r="E24" s="7">
        <f>COUNTIFS(Lich_dang!$C$5:$C$43,$A24,Lich_dang!$G$5:$G$43,E$14)</f>
        <v>0</v>
      </c>
      <c r="F24" s="7">
        <f>COUNTIFS(Lich_dang!$C$5:$C$43,$A24,Lich_dang!$G$5:$G$43,F$14)</f>
        <v>0</v>
      </c>
      <c r="G24" s="10">
        <f t="shared" si="1"/>
        <v>3</v>
      </c>
    </row>
    <row r="25" spans="1:7" x14ac:dyDescent="0.3">
      <c r="A25" s="7">
        <v>11</v>
      </c>
      <c r="B25" s="7" t="str">
        <f>INDEX(Tong_quan!$D$27:$D$39,A25)</f>
        <v>Kiểm thử</v>
      </c>
      <c r="C25" s="7">
        <f>COUNTIFS(Lich_dang!$C$5:$C$43,$A25,Lich_dang!$G$5:$G$43,C$14)</f>
        <v>1</v>
      </c>
      <c r="D25" s="7">
        <f>COUNTIFS(Lich_dang!$C$5:$C$43,$A25,Lich_dang!$G$5:$G$43,D$14)</f>
        <v>1</v>
      </c>
      <c r="E25" s="7">
        <f>COUNTIFS(Lich_dang!$C$5:$C$43,$A25,Lich_dang!$G$5:$G$43,E$14)</f>
        <v>1</v>
      </c>
      <c r="F25" s="7">
        <f>COUNTIFS(Lich_dang!$C$5:$C$43,$A25,Lich_dang!$G$5:$G$43,F$14)</f>
        <v>0</v>
      </c>
      <c r="G25" s="10">
        <f t="shared" si="1"/>
        <v>3</v>
      </c>
    </row>
    <row r="26" spans="1:7" x14ac:dyDescent="0.3">
      <c r="A26" s="7">
        <v>12</v>
      </c>
      <c r="B26" s="7" t="str">
        <f>INDEX(Tong_quan!$D$27:$D$39,A26)</f>
        <v>Nghiệm thu</v>
      </c>
      <c r="C26" s="7">
        <f>COUNTIFS(Lich_dang!$C$5:$C$43,$A26,Lich_dang!$G$5:$G$43,C$14)</f>
        <v>2</v>
      </c>
      <c r="D26" s="7">
        <f>COUNTIFS(Lich_dang!$C$5:$C$43,$A26,Lich_dang!$G$5:$G$43,D$14)</f>
        <v>0</v>
      </c>
      <c r="E26" s="7">
        <f>COUNTIFS(Lich_dang!$C$5:$C$43,$A26,Lich_dang!$G$5:$G$43,E$14)</f>
        <v>0</v>
      </c>
      <c r="F26" s="7">
        <f>COUNTIFS(Lich_dang!$C$5:$C$43,$A26,Lich_dang!$G$5:$G$43,F$14)</f>
        <v>1</v>
      </c>
      <c r="G26" s="10">
        <f t="shared" si="1"/>
        <v>3</v>
      </c>
    </row>
    <row r="27" spans="1:7" x14ac:dyDescent="0.3">
      <c r="A27" s="7">
        <v>13</v>
      </c>
      <c r="B27" s="7" t="str">
        <f>INDEX(Tong_quan!$D$27:$D$39,A27)</f>
        <v>Triển khai</v>
      </c>
      <c r="C27" s="7">
        <f>COUNTIFS(Lich_dang!$C$5:$C$43,$A27,Lich_dang!$G$5:$G$43,C$14)</f>
        <v>1</v>
      </c>
      <c r="D27" s="7">
        <f>COUNTIFS(Lich_dang!$C$5:$C$43,$A27,Lich_dang!$G$5:$G$43,D$14)</f>
        <v>1</v>
      </c>
      <c r="E27" s="7">
        <f>COUNTIFS(Lich_dang!$C$5:$C$43,$A27,Lich_dang!$G$5:$G$43,E$14)</f>
        <v>1</v>
      </c>
      <c r="F27" s="7">
        <f>COUNTIFS(Lich_dang!$C$5:$C$43,$A27,Lich_dang!$G$5:$G$43,F$14)</f>
        <v>0</v>
      </c>
      <c r="G27" s="10">
        <f t="shared" si="0"/>
        <v>3</v>
      </c>
    </row>
    <row r="28" spans="1:7" x14ac:dyDescent="0.3">
      <c r="A28" s="10" t="s">
        <v>25</v>
      </c>
      <c r="B28" s="9"/>
      <c r="C28" s="10">
        <f>SUM(C15:C27)</f>
        <v>17</v>
      </c>
      <c r="D28" s="10">
        <f>SUM(D15:D27)</f>
        <v>10</v>
      </c>
      <c r="E28" s="10">
        <f>SUM(E15:E27)</f>
        <v>9</v>
      </c>
      <c r="F28" s="10">
        <f>SUM(F15:F27)</f>
        <v>3</v>
      </c>
      <c r="G28" s="10">
        <f>SUM(G15:G27)</f>
        <v>39</v>
      </c>
    </row>
    <row r="30" spans="1:7" x14ac:dyDescent="0.3">
      <c r="A30" s="5" t="s">
        <v>374</v>
      </c>
      <c r="B30" s="6"/>
      <c r="C30" s="6"/>
      <c r="D30" s="6"/>
      <c r="E30" s="6"/>
      <c r="F30" s="6"/>
      <c r="G30" s="6"/>
    </row>
    <row r="31" spans="1:7" ht="15" customHeight="1" x14ac:dyDescent="0.3">
      <c r="A31" s="27" t="s">
        <v>375</v>
      </c>
      <c r="B31" s="27"/>
      <c r="C31" s="2" t="s">
        <v>376</v>
      </c>
      <c r="D31" s="2" t="s">
        <v>377</v>
      </c>
      <c r="E31" s="2" t="s">
        <v>378</v>
      </c>
      <c r="F31" s="2"/>
      <c r="G31" s="2"/>
    </row>
    <row r="32" spans="1:7" ht="15" customHeight="1" x14ac:dyDescent="0.3">
      <c r="A32" s="26" t="s">
        <v>425</v>
      </c>
      <c r="B32" s="26"/>
      <c r="C32" s="7">
        <f>COUNTIF(Lich_dang!$Q$5:$Q$43,$A32)</f>
        <v>7</v>
      </c>
      <c r="D32" s="7">
        <f>COUNTIF(Lich_dang!$R$5:$R$43,$A32)</f>
        <v>0</v>
      </c>
      <c r="E32" s="7">
        <f>COUNTIF(Lich_dang!$S$5:$S$43,$A32)</f>
        <v>32</v>
      </c>
    </row>
    <row r="33" spans="1:7" ht="15" customHeight="1" x14ac:dyDescent="0.3">
      <c r="A33" s="26" t="s">
        <v>426</v>
      </c>
      <c r="B33" s="26"/>
      <c r="C33" s="7">
        <f>COUNTIF(Lich_dang!$Q$5:$Q$43,$A33)</f>
        <v>9</v>
      </c>
      <c r="D33" s="7">
        <f>COUNTIF(Lich_dang!$R$5:$R$43,$A33)</f>
        <v>14</v>
      </c>
      <c r="E33" s="7">
        <f>COUNTIF(Lich_dang!$S$5:$S$43,$A33)</f>
        <v>7</v>
      </c>
    </row>
    <row r="34" spans="1:7" ht="15" customHeight="1" x14ac:dyDescent="0.3">
      <c r="A34" s="26" t="s">
        <v>464</v>
      </c>
      <c r="B34" s="26"/>
      <c r="C34" s="7">
        <f>COUNTIF(Lich_dang!$Q$5:$Q$43,$A34)</f>
        <v>7</v>
      </c>
      <c r="D34" s="7">
        <f>COUNTIF(Lich_dang!$R$5:$R$43,$A34)</f>
        <v>0</v>
      </c>
      <c r="E34" s="7">
        <f>COUNTIF(Lich_dang!$S$5:$S$43,$A34)</f>
        <v>0</v>
      </c>
    </row>
    <row r="35" spans="1:7" ht="15" customHeight="1" x14ac:dyDescent="0.3">
      <c r="A35" s="26" t="s">
        <v>448</v>
      </c>
      <c r="B35" s="26"/>
      <c r="C35" s="7">
        <f>COUNTIF(Lich_dang!$Q$5:$Q$43,$A35)</f>
        <v>9</v>
      </c>
      <c r="D35" s="7">
        <f>COUNTIF(Lich_dang!$R$5:$R$43,$A35)</f>
        <v>0</v>
      </c>
      <c r="E35" s="7">
        <f>COUNTIF(Lich_dang!$S$5:$S$43,$A35)</f>
        <v>0</v>
      </c>
    </row>
    <row r="36" spans="1:7" ht="15" customHeight="1" x14ac:dyDescent="0.3">
      <c r="A36" s="26" t="s">
        <v>432</v>
      </c>
      <c r="B36" s="26"/>
      <c r="C36" s="7">
        <f>COUNTIF(Lich_dang!$Q$5:$Q$43,$A36)</f>
        <v>7</v>
      </c>
      <c r="D36" s="7">
        <f>COUNTIF(Lich_dang!$R$5:$R$43,$A36)</f>
        <v>25</v>
      </c>
      <c r="E36" s="7">
        <f>COUNTIF(Lich_dang!$S$5:$S$43,$A36)</f>
        <v>0</v>
      </c>
    </row>
    <row r="38" spans="1:7" x14ac:dyDescent="0.3">
      <c r="A38" s="5" t="s">
        <v>379</v>
      </c>
      <c r="B38" s="6"/>
      <c r="C38" s="6"/>
      <c r="D38" s="6"/>
      <c r="E38" s="6"/>
      <c r="F38" s="6"/>
      <c r="G38" s="6"/>
    </row>
    <row r="39" spans="1:7" ht="15" customHeight="1" x14ac:dyDescent="0.3">
      <c r="A39" s="27" t="s">
        <v>72</v>
      </c>
      <c r="B39" s="27"/>
      <c r="C39" s="2" t="s">
        <v>18</v>
      </c>
      <c r="D39" s="2"/>
      <c r="E39" s="2"/>
      <c r="F39" s="2"/>
      <c r="G39" s="2"/>
    </row>
    <row r="40" spans="1:7" ht="15" customHeight="1" x14ac:dyDescent="0.3">
      <c r="A40" s="26" t="s">
        <v>82</v>
      </c>
      <c r="B40" s="26"/>
      <c r="C40" s="7">
        <f>COUNTIF(Lich_dang!$Y$5:$Y$43,$A40)</f>
        <v>39</v>
      </c>
    </row>
    <row r="41" spans="1:7" ht="15" customHeight="1" x14ac:dyDescent="0.3">
      <c r="A41" s="26" t="s">
        <v>380</v>
      </c>
      <c r="B41" s="26"/>
      <c r="C41" s="7">
        <f>COUNTIF(Lich_dang!$Y$5:$Y$43,$A41)</f>
        <v>0</v>
      </c>
    </row>
    <row r="42" spans="1:7" ht="15" customHeight="1" x14ac:dyDescent="0.3">
      <c r="A42" s="26" t="s">
        <v>381</v>
      </c>
      <c r="B42" s="26"/>
      <c r="C42" s="7">
        <f>COUNTIF(Lich_dang!$Y$5:$Y$43,$A42)</f>
        <v>0</v>
      </c>
    </row>
    <row r="43" spans="1:7" ht="15" customHeight="1" x14ac:dyDescent="0.3">
      <c r="A43" s="26" t="s">
        <v>382</v>
      </c>
      <c r="B43" s="26"/>
      <c r="C43" s="7">
        <f>COUNTIF(Lich_dang!$Y$5:$Y$43,$A43)</f>
        <v>0</v>
      </c>
    </row>
    <row r="44" spans="1:7" ht="15" customHeight="1" x14ac:dyDescent="0.3">
      <c r="A44" s="26" t="s">
        <v>383</v>
      </c>
      <c r="B44" s="26"/>
      <c r="C44" s="7">
        <f>COUNTIF(Lich_dang!$Y$5:$Y$43,$A44)</f>
        <v>0</v>
      </c>
    </row>
    <row r="45" spans="1:7" ht="15" customHeight="1" x14ac:dyDescent="0.3">
      <c r="A45" s="26" t="s">
        <v>384</v>
      </c>
      <c r="B45" s="26"/>
      <c r="C45" s="7">
        <f>COUNTIF(Lich_dang!$Y$5:$Y$43,$A45)</f>
        <v>0</v>
      </c>
    </row>
  </sheetData>
  <mergeCells count="28">
    <mergeCell ref="A2:G2"/>
    <mergeCell ref="A5:B5"/>
    <mergeCell ref="E5:G5"/>
    <mergeCell ref="A6:B6"/>
    <mergeCell ref="E6:G6"/>
    <mergeCell ref="A7:B7"/>
    <mergeCell ref="E7:G7"/>
    <mergeCell ref="A8:B8"/>
    <mergeCell ref="E8:G8"/>
    <mergeCell ref="A9:B9"/>
    <mergeCell ref="E9:G9"/>
    <mergeCell ref="A10:B10"/>
    <mergeCell ref="E10:G10"/>
    <mergeCell ref="A11:B11"/>
    <mergeCell ref="E11:G11"/>
    <mergeCell ref="A31:B31"/>
    <mergeCell ref="A32:B32"/>
    <mergeCell ref="A33:B33"/>
    <mergeCell ref="A34:B34"/>
    <mergeCell ref="A35:B35"/>
    <mergeCell ref="A36:B36"/>
    <mergeCell ref="A44:B44"/>
    <mergeCell ref="A45:B45"/>
    <mergeCell ref="A39:B39"/>
    <mergeCell ref="A40:B40"/>
    <mergeCell ref="A41:B41"/>
    <mergeCell ref="A42:B42"/>
    <mergeCell ref="A43:B43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Tong_quan</vt:lpstr>
      <vt:lpstr>Lich_dang</vt:lpstr>
      <vt:lpstr>Quy_trinh_AI</vt:lpstr>
      <vt:lpstr>Prompt_mau</vt:lpstr>
      <vt:lpstr>Kenh</vt:lpstr>
      <vt:lpstr>Kiem_duyet</vt:lpstr>
      <vt:lpstr>Tong_hop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thái duy</cp:lastModifiedBy>
  <cp:revision>1</cp:revision>
  <dcterms:created xsi:type="dcterms:W3CDTF">2026-10-12T06:58:40Z</dcterms:created>
  <dcterms:modified xsi:type="dcterms:W3CDTF">2026-10-12T07:26:28Z</dcterms:modified>
  <dc:language>en-US</dc:language>
</cp:coreProperties>
</file>
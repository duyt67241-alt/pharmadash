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hà thuốc\docs\lab\"/>
    </mc:Choice>
  </mc:AlternateContent>
  <xr:revisionPtr revIDLastSave="0" documentId="13_ncr:1_{AFECE5D9-2D0E-4B86-BE36-E524E50C04B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HuongDan" sheetId="1" r:id="rId1"/>
    <sheet name="WBS" sheetId="2" r:id="rId2"/>
    <sheet name="ChiPhi" sheetId="3" r:id="rId3"/>
    <sheet name="PERT" sheetId="4" r:id="rId4"/>
    <sheet name="Gantt" sheetId="5" r:id="rId5"/>
    <sheet name="NenLich" sheetId="6" r:id="rId6"/>
    <sheet name="RuiRo" sheetId="7" r:id="rId7"/>
    <sheet name="MaTra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4" l="1"/>
  <c r="S22" i="4"/>
  <c r="S21" i="4"/>
  <c r="S20" i="4"/>
  <c r="S19" i="4"/>
  <c r="S18" i="4"/>
  <c r="S17" i="4"/>
  <c r="S16" i="4"/>
  <c r="S15" i="4"/>
  <c r="S14" i="4"/>
  <c r="S13" i="4"/>
  <c r="S12" i="4"/>
  <c r="S11" i="4"/>
  <c r="S10" i="4"/>
  <c r="S9" i="4"/>
  <c r="G9" i="8"/>
  <c r="F9" i="8"/>
  <c r="E9" i="8"/>
  <c r="D9" i="8"/>
  <c r="C9" i="8"/>
  <c r="G8" i="8"/>
  <c r="F8" i="8"/>
  <c r="E8" i="8"/>
  <c r="D8" i="8"/>
  <c r="C8" i="8"/>
  <c r="G7" i="8"/>
  <c r="F7" i="8"/>
  <c r="E7" i="8"/>
  <c r="D7" i="8"/>
  <c r="C7" i="8"/>
  <c r="G6" i="8"/>
  <c r="F6" i="8"/>
  <c r="E6" i="8"/>
  <c r="D6" i="8"/>
  <c r="C6" i="8"/>
  <c r="G5" i="8"/>
  <c r="F5" i="8"/>
  <c r="E5" i="8"/>
  <c r="D5" i="8"/>
  <c r="C5" i="8"/>
  <c r="H14" i="7"/>
  <c r="I14" i="7" s="1"/>
  <c r="H10" i="7"/>
  <c r="I10" i="7" s="1"/>
  <c r="H16" i="7"/>
  <c r="I16" i="7" s="1"/>
  <c r="H15" i="7"/>
  <c r="I15" i="7" s="1"/>
  <c r="H13" i="7"/>
  <c r="I13" i="7" s="1"/>
  <c r="H12" i="7"/>
  <c r="I12" i="7" s="1"/>
  <c r="H11" i="7"/>
  <c r="I11" i="7" s="1"/>
  <c r="H9" i="7"/>
  <c r="I9" i="7" s="1"/>
  <c r="H8" i="7"/>
  <c r="I8" i="7" s="1"/>
  <c r="H7" i="7"/>
  <c r="I7" i="7" s="1"/>
  <c r="H6" i="7"/>
  <c r="I6" i="7" s="1"/>
  <c r="H5" i="7"/>
  <c r="I5" i="7" s="1"/>
  <c r="F19" i="6"/>
  <c r="E19" i="6"/>
  <c r="D19" i="6"/>
  <c r="B19" i="6"/>
  <c r="F18" i="6"/>
  <c r="E18" i="6"/>
  <c r="D18" i="6"/>
  <c r="H18" i="6" s="1"/>
  <c r="B18" i="6"/>
  <c r="F17" i="6"/>
  <c r="E17" i="6"/>
  <c r="D17" i="6"/>
  <c r="H17" i="6" s="1"/>
  <c r="B17" i="6"/>
  <c r="F16" i="6"/>
  <c r="E16" i="6"/>
  <c r="D16" i="6"/>
  <c r="H16" i="6" s="1"/>
  <c r="B16" i="6"/>
  <c r="F15" i="6"/>
  <c r="E15" i="6"/>
  <c r="D15" i="6"/>
  <c r="B15" i="6"/>
  <c r="I14" i="6"/>
  <c r="H14" i="6"/>
  <c r="B14" i="6"/>
  <c r="F13" i="6"/>
  <c r="E13" i="6"/>
  <c r="D13" i="6"/>
  <c r="H13" i="6" s="1"/>
  <c r="B13" i="6"/>
  <c r="F12" i="6"/>
  <c r="E12" i="6"/>
  <c r="D12" i="6"/>
  <c r="B12" i="6"/>
  <c r="I11" i="6"/>
  <c r="H11" i="6"/>
  <c r="B11" i="6"/>
  <c r="F10" i="6"/>
  <c r="E10" i="6"/>
  <c r="D10" i="6"/>
  <c r="H10" i="6" s="1"/>
  <c r="B10" i="6"/>
  <c r="F9" i="6"/>
  <c r="E9" i="6"/>
  <c r="D9" i="6"/>
  <c r="H9" i="6" s="1"/>
  <c r="B9" i="6"/>
  <c r="F8" i="6"/>
  <c r="E8" i="6"/>
  <c r="D8" i="6"/>
  <c r="B8" i="6"/>
  <c r="F7" i="6"/>
  <c r="E7" i="6"/>
  <c r="D7" i="6"/>
  <c r="H7" i="6" s="1"/>
  <c r="B7" i="6"/>
  <c r="F6" i="6"/>
  <c r="E6" i="6"/>
  <c r="D6" i="6"/>
  <c r="H6" i="6" s="1"/>
  <c r="B6" i="6"/>
  <c r="J5" i="6"/>
  <c r="F5" i="6"/>
  <c r="E5" i="6"/>
  <c r="D5" i="6"/>
  <c r="H5" i="6" s="1"/>
  <c r="B5" i="6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CL4" i="5"/>
  <c r="CK4" i="5"/>
  <c r="CJ4" i="5"/>
  <c r="CI4" i="5"/>
  <c r="CH4" i="5"/>
  <c r="CG4" i="5"/>
  <c r="CF4" i="5"/>
  <c r="CE4" i="5"/>
  <c r="CD4" i="5"/>
  <c r="CC4" i="5"/>
  <c r="CB4" i="5"/>
  <c r="CA4" i="5"/>
  <c r="BZ4" i="5"/>
  <c r="BY4" i="5"/>
  <c r="BX4" i="5"/>
  <c r="BW4" i="5"/>
  <c r="BV4" i="5"/>
  <c r="BU4" i="5"/>
  <c r="BT4" i="5"/>
  <c r="BS4" i="5"/>
  <c r="BR4" i="5"/>
  <c r="BQ4" i="5"/>
  <c r="BP4" i="5"/>
  <c r="BO4" i="5"/>
  <c r="BN4" i="5"/>
  <c r="BM4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I23" i="4"/>
  <c r="J23" i="4" s="1"/>
  <c r="H23" i="4"/>
  <c r="I22" i="4"/>
  <c r="J22" i="4" s="1"/>
  <c r="H22" i="4"/>
  <c r="I21" i="4"/>
  <c r="J21" i="4" s="1"/>
  <c r="H21" i="4"/>
  <c r="I20" i="4"/>
  <c r="J20" i="4" s="1"/>
  <c r="H20" i="4"/>
  <c r="I19" i="4"/>
  <c r="J19" i="4" s="1"/>
  <c r="H19" i="4"/>
  <c r="I18" i="4"/>
  <c r="J18" i="4" s="1"/>
  <c r="H18" i="4"/>
  <c r="I17" i="4"/>
  <c r="J17" i="4" s="1"/>
  <c r="H17" i="4"/>
  <c r="I16" i="4"/>
  <c r="J16" i="4" s="1"/>
  <c r="H16" i="4"/>
  <c r="I15" i="4"/>
  <c r="J15" i="4" s="1"/>
  <c r="H15" i="4"/>
  <c r="T15" i="4" s="1"/>
  <c r="I14" i="4"/>
  <c r="J14" i="4" s="1"/>
  <c r="H14" i="4"/>
  <c r="T14" i="4" s="1"/>
  <c r="I13" i="4"/>
  <c r="J13" i="4" s="1"/>
  <c r="H13" i="4"/>
  <c r="I12" i="4"/>
  <c r="J12" i="4" s="1"/>
  <c r="H12" i="4"/>
  <c r="I11" i="4"/>
  <c r="J11" i="4" s="1"/>
  <c r="H11" i="4"/>
  <c r="I10" i="4"/>
  <c r="J10" i="4" s="1"/>
  <c r="H10" i="4"/>
  <c r="K9" i="4"/>
  <c r="I9" i="4"/>
  <c r="J9" i="4" s="1"/>
  <c r="H9" i="4"/>
  <c r="C5" i="4"/>
  <c r="E16" i="3"/>
  <c r="E15" i="3"/>
  <c r="E14" i="3"/>
  <c r="E17" i="3" s="1"/>
  <c r="D9" i="3"/>
  <c r="E9" i="3" s="1"/>
  <c r="D8" i="3"/>
  <c r="D7" i="3"/>
  <c r="E7" i="3" s="1"/>
  <c r="D6" i="3"/>
  <c r="E6" i="3" s="1"/>
  <c r="D5" i="3"/>
  <c r="E5" i="3" s="1"/>
  <c r="F80" i="2"/>
  <c r="G78" i="2"/>
  <c r="G77" i="2"/>
  <c r="G76" i="2"/>
  <c r="F75" i="2"/>
  <c r="G74" i="2"/>
  <c r="G73" i="2"/>
  <c r="F72" i="2"/>
  <c r="F71" i="2"/>
  <c r="G70" i="2"/>
  <c r="F69" i="2"/>
  <c r="G68" i="2"/>
  <c r="G67" i="2"/>
  <c r="G66" i="2"/>
  <c r="G65" i="2"/>
  <c r="F64" i="2"/>
  <c r="G63" i="2"/>
  <c r="F62" i="2"/>
  <c r="F61" i="2"/>
  <c r="G60" i="2"/>
  <c r="F59" i="2"/>
  <c r="G58" i="2"/>
  <c r="G57" i="2"/>
  <c r="G56" i="2"/>
  <c r="G55" i="2"/>
  <c r="G54" i="2"/>
  <c r="F53" i="2"/>
  <c r="G52" i="2"/>
  <c r="G51" i="2"/>
  <c r="F50" i="2"/>
  <c r="F49" i="2"/>
  <c r="G48" i="2"/>
  <c r="G47" i="2"/>
  <c r="F46" i="2"/>
  <c r="G45" i="2"/>
  <c r="F44" i="2"/>
  <c r="G43" i="2"/>
  <c r="G42" i="2"/>
  <c r="G41" i="2"/>
  <c r="G40" i="2"/>
  <c r="G39" i="2"/>
  <c r="F38" i="2"/>
  <c r="G37" i="2"/>
  <c r="G36" i="2"/>
  <c r="F35" i="2"/>
  <c r="F34" i="2"/>
  <c r="G33" i="2"/>
  <c r="G32" i="2"/>
  <c r="F31" i="2"/>
  <c r="G30" i="2"/>
  <c r="G29" i="2"/>
  <c r="G28" i="2"/>
  <c r="F27" i="2"/>
  <c r="F26" i="2"/>
  <c r="G25" i="2"/>
  <c r="G24" i="2"/>
  <c r="G23" i="2"/>
  <c r="F22" i="2"/>
  <c r="G21" i="2"/>
  <c r="G20" i="2"/>
  <c r="F19" i="2"/>
  <c r="F18" i="2"/>
  <c r="G17" i="2"/>
  <c r="F16" i="2"/>
  <c r="G15" i="2"/>
  <c r="G14" i="2"/>
  <c r="F13" i="2"/>
  <c r="G12" i="2"/>
  <c r="G11" i="2"/>
  <c r="G10" i="2"/>
  <c r="F9" i="2"/>
  <c r="G8" i="2"/>
  <c r="G7" i="2"/>
  <c r="F82" i="2" s="1"/>
  <c r="F6" i="2"/>
  <c r="F5" i="2"/>
  <c r="H12" i="6" l="1"/>
  <c r="I15" i="6"/>
  <c r="H19" i="6"/>
  <c r="I8" i="6"/>
  <c r="F81" i="2"/>
  <c r="G81" i="2" s="1"/>
  <c r="T23" i="4"/>
  <c r="T22" i="4"/>
  <c r="T21" i="4"/>
  <c r="T20" i="4"/>
  <c r="T19" i="4"/>
  <c r="T18" i="4"/>
  <c r="T17" i="4"/>
  <c r="T16" i="4"/>
  <c r="T13" i="4"/>
  <c r="T12" i="4"/>
  <c r="T11" i="4"/>
  <c r="T10" i="4"/>
  <c r="T9" i="4"/>
  <c r="I19" i="6"/>
  <c r="I18" i="6"/>
  <c r="I17" i="6"/>
  <c r="I16" i="6"/>
  <c r="H15" i="6"/>
  <c r="I13" i="6"/>
  <c r="I12" i="6"/>
  <c r="I10" i="6"/>
  <c r="I9" i="6"/>
  <c r="H8" i="6"/>
  <c r="I7" i="6"/>
  <c r="I6" i="6"/>
  <c r="K5" i="6"/>
  <c r="J6" i="6" s="1"/>
  <c r="K6" i="6" s="1"/>
  <c r="I5" i="6"/>
  <c r="L9" i="4"/>
  <c r="Q9" i="4"/>
  <c r="C6" i="5"/>
  <c r="C30" i="4"/>
  <c r="C25" i="6"/>
  <c r="D10" i="3"/>
  <c r="D11" i="3" s="1"/>
  <c r="E8" i="3"/>
  <c r="E10" i="3" s="1"/>
  <c r="E19" i="3" s="1"/>
  <c r="K10" i="4" l="1"/>
  <c r="D6" i="5"/>
  <c r="R9" i="4"/>
  <c r="F6" i="5"/>
  <c r="J7" i="6"/>
  <c r="K7" i="6" s="1"/>
  <c r="E20" i="3"/>
  <c r="E21" i="3" s="1"/>
  <c r="K6" i="5" l="1"/>
  <c r="O6" i="5"/>
  <c r="S6" i="5"/>
  <c r="V6" i="5"/>
  <c r="AG6" i="5"/>
  <c r="AK6" i="5"/>
  <c r="AR6" i="5"/>
  <c r="BE6" i="5"/>
  <c r="P6" i="5"/>
  <c r="AI6" i="5"/>
  <c r="AV6" i="5"/>
  <c r="AQ6" i="5"/>
  <c r="BJ6" i="5"/>
  <c r="BX6" i="5"/>
  <c r="CC6" i="5"/>
  <c r="CG6" i="5"/>
  <c r="G6" i="5"/>
  <c r="L6" i="5"/>
  <c r="R6" i="5"/>
  <c r="Q10" i="4"/>
  <c r="C7" i="5"/>
  <c r="L10" i="4"/>
  <c r="J16" i="6"/>
  <c r="K16" i="6" s="1"/>
  <c r="J9" i="6"/>
  <c r="K9" i="6" s="1"/>
  <c r="J13" i="6" s="1"/>
  <c r="K13" i="6" s="1"/>
  <c r="J8" i="6"/>
  <c r="K8" i="6" s="1"/>
  <c r="E24" i="3"/>
  <c r="E23" i="3"/>
  <c r="E25" i="3"/>
  <c r="W6" i="5"/>
  <c r="AB6" i="5"/>
  <c r="AF6" i="5"/>
  <c r="AM6" i="5"/>
  <c r="AT6" i="5"/>
  <c r="BC6" i="5"/>
  <c r="BF6" i="5"/>
  <c r="BH6" i="5"/>
  <c r="CA6" i="5"/>
  <c r="N6" i="5"/>
  <c r="Z6" i="5"/>
  <c r="AO6" i="5"/>
  <c r="AZ6" i="5"/>
  <c r="BL6" i="5"/>
  <c r="BO6" i="5"/>
  <c r="BU6" i="5"/>
  <c r="CE6" i="5"/>
  <c r="CK6" i="5"/>
  <c r="I6" i="5"/>
  <c r="M6" i="5"/>
  <c r="AA6" i="5"/>
  <c r="AH6" i="5"/>
  <c r="AN6" i="5"/>
  <c r="BA6" i="5"/>
  <c r="BG6" i="5"/>
  <c r="BK6" i="5"/>
  <c r="CD6" i="5"/>
  <c r="U6" i="5"/>
  <c r="AC6" i="5"/>
  <c r="BM6" i="5"/>
  <c r="BV6" i="5"/>
  <c r="CJ6" i="5"/>
  <c r="BN6" i="5"/>
  <c r="BT6" i="5"/>
  <c r="BW6" i="5"/>
  <c r="CI6" i="5"/>
  <c r="T6" i="5"/>
  <c r="AD6" i="5"/>
  <c r="AW6" i="5"/>
  <c r="BB6" i="5"/>
  <c r="BR6" i="5"/>
  <c r="BZ6" i="5"/>
  <c r="CH6" i="5"/>
  <c r="CL6" i="5"/>
  <c r="J6" i="5"/>
  <c r="Y6" i="5"/>
  <c r="AE6" i="5"/>
  <c r="AJ6" i="5"/>
  <c r="AP6" i="5"/>
  <c r="AX6" i="5"/>
  <c r="BD6" i="5"/>
  <c r="BI6" i="5"/>
  <c r="BP6" i="5"/>
  <c r="BS6" i="5"/>
  <c r="H6" i="5"/>
  <c r="X6" i="5"/>
  <c r="AL6" i="5"/>
  <c r="BQ6" i="5"/>
  <c r="CB6" i="5"/>
  <c r="AS6" i="5"/>
  <c r="Q6" i="5"/>
  <c r="AU6" i="5"/>
  <c r="AY6" i="5"/>
  <c r="BY6" i="5"/>
  <c r="CF6" i="5"/>
  <c r="R10" i="4" l="1"/>
  <c r="K11" i="4"/>
  <c r="D7" i="5"/>
  <c r="J10" i="6"/>
  <c r="K10" i="6" s="1"/>
  <c r="L11" i="4" l="1"/>
  <c r="C8" i="5"/>
  <c r="Q11" i="4"/>
  <c r="J14" i="6"/>
  <c r="K14" i="6" s="1"/>
  <c r="J11" i="6"/>
  <c r="K11" i="6" s="1"/>
  <c r="J15" i="6" s="1"/>
  <c r="K15" i="6" s="1"/>
  <c r="J12" i="6"/>
  <c r="K12" i="6" s="1"/>
  <c r="G7" i="5"/>
  <c r="R7" i="5"/>
  <c r="X7" i="5"/>
  <c r="AB7" i="5"/>
  <c r="AD7" i="5"/>
  <c r="AH7" i="5"/>
  <c r="AK7" i="5"/>
  <c r="AR7" i="5"/>
  <c r="AX7" i="5"/>
  <c r="BB7" i="5"/>
  <c r="BG7" i="5"/>
  <c r="BL7" i="5"/>
  <c r="BQ7" i="5"/>
  <c r="BU7" i="5"/>
  <c r="BX7" i="5"/>
  <c r="CB7" i="5"/>
  <c r="F7" i="5"/>
  <c r="I7" i="5"/>
  <c r="J7" i="5"/>
  <c r="L7" i="5"/>
  <c r="O7" i="5"/>
  <c r="S7" i="5"/>
  <c r="Z7" i="5"/>
  <c r="AF7" i="5"/>
  <c r="AN7" i="5"/>
  <c r="AQ7" i="5"/>
  <c r="AV7" i="5"/>
  <c r="BI7" i="5"/>
  <c r="BO7" i="5"/>
  <c r="BY7" i="5"/>
  <c r="CD7" i="5"/>
  <c r="CE7" i="5"/>
  <c r="H7" i="5"/>
  <c r="M7" i="5"/>
  <c r="AL7" i="5"/>
  <c r="AO7" i="5"/>
  <c r="AU7" i="5"/>
  <c r="BD7" i="5"/>
  <c r="BM7" i="5"/>
  <c r="BP7" i="5"/>
  <c r="BV7" i="5"/>
  <c r="BZ7" i="5"/>
  <c r="CL7" i="5"/>
  <c r="P7" i="5"/>
  <c r="AE7" i="5"/>
  <c r="BC7" i="5"/>
  <c r="AA7" i="5"/>
  <c r="AZ7" i="5"/>
  <c r="BH7" i="5"/>
  <c r="BS7" i="5"/>
  <c r="CG7" i="5"/>
  <c r="CI7" i="5"/>
  <c r="T7" i="5"/>
  <c r="AI7" i="5"/>
  <c r="AM7" i="5"/>
  <c r="AT7" i="5"/>
  <c r="AY7" i="5"/>
  <c r="BA7" i="5"/>
  <c r="BF7" i="5"/>
  <c r="BK7" i="5"/>
  <c r="BN7" i="5"/>
  <c r="BR7" i="5"/>
  <c r="CA7" i="5"/>
  <c r="CH7" i="5"/>
  <c r="CJ7" i="5"/>
  <c r="K7" i="5"/>
  <c r="N7" i="5"/>
  <c r="Q7" i="5"/>
  <c r="Y7" i="5"/>
  <c r="AC7" i="5"/>
  <c r="AG7" i="5"/>
  <c r="AJ7" i="5"/>
  <c r="AP7" i="5"/>
  <c r="AS7" i="5"/>
  <c r="AW7" i="5"/>
  <c r="BE7" i="5"/>
  <c r="BT7" i="5"/>
  <c r="BW7" i="5"/>
  <c r="CC7" i="5"/>
  <c r="CF7" i="5"/>
  <c r="CK7" i="5"/>
  <c r="U7" i="5"/>
  <c r="V7" i="5"/>
  <c r="W7" i="5"/>
  <c r="BJ7" i="5"/>
  <c r="R11" i="4" l="1"/>
  <c r="K20" i="4"/>
  <c r="K13" i="4"/>
  <c r="D8" i="5"/>
  <c r="K12" i="4"/>
  <c r="J17" i="6"/>
  <c r="K17" i="6" s="1"/>
  <c r="J18" i="6" s="1"/>
  <c r="K18" i="6" s="1"/>
  <c r="J19" i="6" s="1"/>
  <c r="K19" i="6" s="1"/>
  <c r="C22" i="6" s="1"/>
  <c r="J8" i="5" l="1"/>
  <c r="AI8" i="5"/>
  <c r="AN8" i="5"/>
  <c r="AS8" i="5"/>
  <c r="BA8" i="5"/>
  <c r="BL8" i="5"/>
  <c r="BW8" i="5"/>
  <c r="CC8" i="5"/>
  <c r="AX8" i="5"/>
  <c r="BY8" i="5"/>
  <c r="BH8" i="5"/>
  <c r="BQ8" i="5"/>
  <c r="AU8" i="5"/>
  <c r="O8" i="5"/>
  <c r="AR8" i="5"/>
  <c r="AE8" i="5"/>
  <c r="AY8" i="5"/>
  <c r="CE8" i="5"/>
  <c r="CH8" i="5"/>
  <c r="CK8" i="5"/>
  <c r="BC8" i="5"/>
  <c r="BG8" i="5"/>
  <c r="BJ8" i="5"/>
  <c r="BO8" i="5"/>
  <c r="BR8" i="5"/>
  <c r="BV8" i="5"/>
  <c r="BZ8" i="5"/>
  <c r="Q20" i="4"/>
  <c r="L20" i="4"/>
  <c r="C17" i="5"/>
  <c r="Q13" i="4"/>
  <c r="L13" i="4"/>
  <c r="C10" i="5"/>
  <c r="C9" i="5"/>
  <c r="L12" i="4"/>
  <c r="Q12" i="4"/>
  <c r="C28" i="6"/>
  <c r="M19" i="6"/>
  <c r="L19" i="6" s="1"/>
  <c r="C26" i="6"/>
  <c r="R8" i="5"/>
  <c r="U8" i="5"/>
  <c r="Y8" i="5"/>
  <c r="AB8" i="5"/>
  <c r="H8" i="5"/>
  <c r="N8" i="5"/>
  <c r="V8" i="5"/>
  <c r="AG8" i="5"/>
  <c r="AL8" i="5"/>
  <c r="AT8" i="5"/>
  <c r="BB8" i="5"/>
  <c r="BF8" i="5"/>
  <c r="BM8" i="5"/>
  <c r="BT8" i="5"/>
  <c r="CA8" i="5"/>
  <c r="CF8" i="5"/>
  <c r="F8" i="5"/>
  <c r="M8" i="5"/>
  <c r="Q8" i="5"/>
  <c r="AA8" i="5"/>
  <c r="AD8" i="5"/>
  <c r="AH8" i="5"/>
  <c r="AK8" i="5"/>
  <c r="AO8" i="5"/>
  <c r="AV8" i="5"/>
  <c r="BE8" i="5"/>
  <c r="BI8" i="5"/>
  <c r="BP8" i="5"/>
  <c r="BS8" i="5"/>
  <c r="P8" i="5"/>
  <c r="W8" i="5"/>
  <c r="AC8" i="5"/>
  <c r="AJ8" i="5"/>
  <c r="BX8" i="5"/>
  <c r="CB8" i="5"/>
  <c r="CG8" i="5"/>
  <c r="CJ8" i="5"/>
  <c r="K8" i="5"/>
  <c r="T8" i="5"/>
  <c r="X8" i="5"/>
  <c r="AM8" i="5"/>
  <c r="AQ8" i="5"/>
  <c r="AW8" i="5"/>
  <c r="AZ8" i="5"/>
  <c r="BD8" i="5"/>
  <c r="BK8" i="5"/>
  <c r="BN8" i="5"/>
  <c r="BU8" i="5"/>
  <c r="CD8" i="5"/>
  <c r="CI8" i="5"/>
  <c r="CL8" i="5"/>
  <c r="G8" i="5"/>
  <c r="I8" i="5"/>
  <c r="L8" i="5"/>
  <c r="S8" i="5"/>
  <c r="Z8" i="5"/>
  <c r="AF8" i="5"/>
  <c r="AP8" i="5"/>
  <c r="D17" i="5" l="1"/>
  <c r="R20" i="4"/>
  <c r="D10" i="5"/>
  <c r="K17" i="4"/>
  <c r="R13" i="4"/>
  <c r="BW10" i="5"/>
  <c r="K14" i="4"/>
  <c r="R12" i="4"/>
  <c r="D9" i="5"/>
  <c r="N19" i="6"/>
  <c r="O19" i="6" s="1"/>
  <c r="M18" i="6"/>
  <c r="L18" i="6" s="1"/>
  <c r="F17" i="5" l="1"/>
  <c r="G17" i="5"/>
  <c r="W17" i="5"/>
  <c r="X17" i="5"/>
  <c r="Y17" i="5"/>
  <c r="H17" i="5"/>
  <c r="I17" i="5"/>
  <c r="J17" i="5"/>
  <c r="K17" i="5"/>
  <c r="O17" i="5"/>
  <c r="Q17" i="5"/>
  <c r="S17" i="5"/>
  <c r="U17" i="5"/>
  <c r="L17" i="5"/>
  <c r="M17" i="5"/>
  <c r="N17" i="5"/>
  <c r="P17" i="5"/>
  <c r="R17" i="5"/>
  <c r="T17" i="5"/>
  <c r="V17" i="5"/>
  <c r="CB10" i="5"/>
  <c r="CG10" i="5"/>
  <c r="G10" i="5"/>
  <c r="K10" i="5"/>
  <c r="P10" i="5"/>
  <c r="U10" i="5"/>
  <c r="X10" i="5"/>
  <c r="AF10" i="5"/>
  <c r="AL10" i="5"/>
  <c r="AV10" i="5"/>
  <c r="BC10" i="5"/>
  <c r="BH10" i="5"/>
  <c r="BL10" i="5"/>
  <c r="BT10" i="5"/>
  <c r="BX10" i="5"/>
  <c r="CE10" i="5"/>
  <c r="CJ10" i="5"/>
  <c r="I10" i="5"/>
  <c r="M10" i="5"/>
  <c r="Q10" i="5"/>
  <c r="T10" i="5"/>
  <c r="AA10" i="5"/>
  <c r="AI10" i="5"/>
  <c r="AO10" i="5"/>
  <c r="AS10" i="5"/>
  <c r="AW10" i="5"/>
  <c r="AY10" i="5"/>
  <c r="BE10" i="5"/>
  <c r="CC10" i="5"/>
  <c r="CI10" i="5"/>
  <c r="CK10" i="5"/>
  <c r="AG10" i="5"/>
  <c r="AM10" i="5"/>
  <c r="AQ10" i="5"/>
  <c r="AX10" i="5"/>
  <c r="BA10" i="5"/>
  <c r="BF10" i="5"/>
  <c r="BJ10" i="5"/>
  <c r="BO10" i="5"/>
  <c r="BY10" i="5"/>
  <c r="CD10" i="5"/>
  <c r="H10" i="5"/>
  <c r="L10" i="5"/>
  <c r="O10" i="5"/>
  <c r="R10" i="5"/>
  <c r="Q17" i="4"/>
  <c r="L17" i="4"/>
  <c r="C14" i="5"/>
  <c r="Q14" i="4"/>
  <c r="L14" i="4"/>
  <c r="C11" i="5"/>
  <c r="M17" i="6"/>
  <c r="L17" i="6" s="1"/>
  <c r="N18" i="6"/>
  <c r="O18" i="6" s="1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M17" i="5"/>
  <c r="BN17" i="5"/>
  <c r="BP17" i="5"/>
  <c r="BQ17" i="5"/>
  <c r="BS17" i="5"/>
  <c r="BU17" i="5"/>
  <c r="BW17" i="5"/>
  <c r="BY17" i="5"/>
  <c r="CA17" i="5"/>
  <c r="CB17" i="5"/>
  <c r="CD17" i="5"/>
  <c r="CE17" i="5"/>
  <c r="CG17" i="5"/>
  <c r="CI17" i="5"/>
  <c r="CK17" i="5"/>
  <c r="CL17" i="5"/>
  <c r="AY17" i="5"/>
  <c r="BL17" i="5"/>
  <c r="BO17" i="5"/>
  <c r="BR17" i="5"/>
  <c r="BT17" i="5"/>
  <c r="BV17" i="5"/>
  <c r="BX17" i="5"/>
  <c r="BZ17" i="5"/>
  <c r="CC17" i="5"/>
  <c r="CF17" i="5"/>
  <c r="CH17" i="5"/>
  <c r="CJ17" i="5"/>
  <c r="F10" i="5"/>
  <c r="J10" i="5"/>
  <c r="N10" i="5"/>
  <c r="S10" i="5"/>
  <c r="W10" i="5"/>
  <c r="Z10" i="5"/>
  <c r="AC10" i="5"/>
  <c r="AE10" i="5"/>
  <c r="AJ10" i="5"/>
  <c r="AP10" i="5"/>
  <c r="AT10" i="5"/>
  <c r="BB10" i="5"/>
  <c r="BM10" i="5"/>
  <c r="BP10" i="5"/>
  <c r="BS10" i="5"/>
  <c r="BI10" i="5"/>
  <c r="BN10" i="5"/>
  <c r="BR10" i="5"/>
  <c r="BV10" i="5"/>
  <c r="BZ10" i="5"/>
  <c r="V10" i="5"/>
  <c r="Y10" i="5"/>
  <c r="AB10" i="5"/>
  <c r="AD10" i="5"/>
  <c r="AH10" i="5"/>
  <c r="AK10" i="5"/>
  <c r="AN10" i="5"/>
  <c r="AR10" i="5"/>
  <c r="AU10" i="5"/>
  <c r="AZ10" i="5"/>
  <c r="BD10" i="5"/>
  <c r="BG10" i="5"/>
  <c r="BK10" i="5"/>
  <c r="BQ10" i="5"/>
  <c r="BU10" i="5"/>
  <c r="CA10" i="5"/>
  <c r="CF10" i="5"/>
  <c r="CH10" i="5"/>
  <c r="CL10" i="5"/>
  <c r="H9" i="5"/>
  <c r="K9" i="5"/>
  <c r="O9" i="5"/>
  <c r="AT9" i="5"/>
  <c r="BE9" i="5"/>
  <c r="BN9" i="5"/>
  <c r="F9" i="5"/>
  <c r="P9" i="5"/>
  <c r="AI9" i="5"/>
  <c r="AP9" i="5"/>
  <c r="BD9" i="5"/>
  <c r="BJ9" i="5"/>
  <c r="R9" i="5"/>
  <c r="AE9" i="5"/>
  <c r="AN9" i="5"/>
  <c r="BA9" i="5"/>
  <c r="CA9" i="5"/>
  <c r="CK9" i="5"/>
  <c r="AH9" i="5"/>
  <c r="AX9" i="5"/>
  <c r="BI9" i="5"/>
  <c r="BY9" i="5"/>
  <c r="T9" i="5"/>
  <c r="V9" i="5"/>
  <c r="Y9" i="5"/>
  <c r="AC9" i="5"/>
  <c r="AF9" i="5"/>
  <c r="AJ9" i="5"/>
  <c r="AY9" i="5"/>
  <c r="BK9" i="5"/>
  <c r="BQ9" i="5"/>
  <c r="L9" i="5"/>
  <c r="X9" i="5"/>
  <c r="AM9" i="5"/>
  <c r="AU9" i="5"/>
  <c r="AZ9" i="5"/>
  <c r="N9" i="5"/>
  <c r="AA9" i="5"/>
  <c r="AR9" i="5"/>
  <c r="BF9" i="5"/>
  <c r="CD9" i="5"/>
  <c r="Q9" i="5"/>
  <c r="AD9" i="5"/>
  <c r="AQ9" i="5"/>
  <c r="BG9" i="5"/>
  <c r="BT9" i="5"/>
  <c r="CF9" i="5"/>
  <c r="BL9" i="5"/>
  <c r="BO9" i="5"/>
  <c r="BR9" i="5"/>
  <c r="BV9" i="5"/>
  <c r="BX9" i="5"/>
  <c r="CE9" i="5"/>
  <c r="CI9" i="5"/>
  <c r="CL9" i="5"/>
  <c r="G9" i="5"/>
  <c r="I9" i="5"/>
  <c r="M9" i="5"/>
  <c r="S9" i="5"/>
  <c r="W9" i="5"/>
  <c r="AB9" i="5"/>
  <c r="AG9" i="5"/>
  <c r="AO9" i="5"/>
  <c r="AS9" i="5"/>
  <c r="AV9" i="5"/>
  <c r="BB9" i="5"/>
  <c r="BH9" i="5"/>
  <c r="BP9" i="5"/>
  <c r="BS9" i="5"/>
  <c r="BW9" i="5"/>
  <c r="BZ9" i="5"/>
  <c r="CC9" i="5"/>
  <c r="CG9" i="5"/>
  <c r="CH9" i="5"/>
  <c r="J9" i="5"/>
  <c r="U9" i="5"/>
  <c r="AL9" i="5"/>
  <c r="AW9" i="5"/>
  <c r="BU9" i="5"/>
  <c r="CJ9" i="5"/>
  <c r="Z9" i="5"/>
  <c r="AK9" i="5"/>
  <c r="BC9" i="5"/>
  <c r="BM9" i="5"/>
  <c r="CB9" i="5"/>
  <c r="D14" i="5" l="1"/>
  <c r="K18" i="4"/>
  <c r="R17" i="4"/>
  <c r="F14" i="5"/>
  <c r="G14" i="5"/>
  <c r="H14" i="5"/>
  <c r="I14" i="5"/>
  <c r="J14" i="5"/>
  <c r="R14" i="4"/>
  <c r="K16" i="4"/>
  <c r="D11" i="5"/>
  <c r="K15" i="4"/>
  <c r="N17" i="6"/>
  <c r="O17" i="6" s="1"/>
  <c r="M16" i="6"/>
  <c r="L16" i="6" s="1"/>
  <c r="N16" i="6" s="1"/>
  <c r="O16" i="6" s="1"/>
  <c r="M12" i="6"/>
  <c r="L12" i="6" s="1"/>
  <c r="N12" i="6" s="1"/>
  <c r="O12" i="6" s="1"/>
  <c r="M14" i="6"/>
  <c r="L14" i="6" s="1"/>
  <c r="M15" i="6"/>
  <c r="L15" i="6" s="1"/>
  <c r="K14" i="5" l="1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X14" i="5"/>
  <c r="CI14" i="5"/>
  <c r="CL14" i="5"/>
  <c r="AY14" i="5"/>
  <c r="AB14" i="5"/>
  <c r="AC14" i="5"/>
  <c r="AD14" i="5"/>
  <c r="AE14" i="5"/>
  <c r="AF14" i="5"/>
  <c r="AG14" i="5"/>
  <c r="AS14" i="5"/>
  <c r="AT14" i="5"/>
  <c r="AU14" i="5"/>
  <c r="AZ14" i="5"/>
  <c r="CJ14" i="5"/>
  <c r="CK14" i="5"/>
  <c r="AV14" i="5"/>
  <c r="AW14" i="5"/>
  <c r="J11" i="5"/>
  <c r="M11" i="5"/>
  <c r="Q11" i="5"/>
  <c r="S11" i="5"/>
  <c r="V11" i="5"/>
  <c r="AC11" i="5"/>
  <c r="AG11" i="5"/>
  <c r="AK11" i="5"/>
  <c r="AO11" i="5"/>
  <c r="AS11" i="5"/>
  <c r="AW11" i="5"/>
  <c r="BA11" i="5"/>
  <c r="BF11" i="5"/>
  <c r="BI11" i="5"/>
  <c r="CB11" i="5"/>
  <c r="CD11" i="5"/>
  <c r="F11" i="5"/>
  <c r="CG11" i="5"/>
  <c r="CI11" i="5"/>
  <c r="CK11" i="5"/>
  <c r="CL11" i="5"/>
  <c r="G11" i="5"/>
  <c r="R11" i="5"/>
  <c r="U11" i="5"/>
  <c r="X11" i="5"/>
  <c r="AY11" i="5"/>
  <c r="BX11" i="5"/>
  <c r="CC11" i="5"/>
  <c r="AA11" i="5"/>
  <c r="AF11" i="5"/>
  <c r="AJ11" i="5"/>
  <c r="AR11" i="5"/>
  <c r="AU11" i="5"/>
  <c r="BB11" i="5"/>
  <c r="BZ11" i="5"/>
  <c r="Q18" i="4"/>
  <c r="C15" i="5"/>
  <c r="L18" i="4"/>
  <c r="L16" i="4"/>
  <c r="Q16" i="4"/>
  <c r="C13" i="5"/>
  <c r="L15" i="4"/>
  <c r="Q15" i="4"/>
  <c r="C12" i="5"/>
  <c r="M13" i="6"/>
  <c r="L13" i="6" s="1"/>
  <c r="N14" i="6"/>
  <c r="O14" i="6" s="1"/>
  <c r="M11" i="6"/>
  <c r="L11" i="6" s="1"/>
  <c r="N15" i="6"/>
  <c r="O15" i="6" s="1"/>
  <c r="AH14" i="5"/>
  <c r="AI14" i="5"/>
  <c r="AJ14" i="5"/>
  <c r="AK14" i="5"/>
  <c r="AL14" i="5"/>
  <c r="AM14" i="5"/>
  <c r="AN14" i="5"/>
  <c r="AO14" i="5"/>
  <c r="AP14" i="5"/>
  <c r="AQ14" i="5"/>
  <c r="AR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CD14" i="5"/>
  <c r="CE14" i="5"/>
  <c r="CF14" i="5"/>
  <c r="CG14" i="5"/>
  <c r="CH14" i="5"/>
  <c r="CE11" i="5"/>
  <c r="CH11" i="5"/>
  <c r="CJ11" i="5"/>
  <c r="I11" i="5"/>
  <c r="L11" i="5"/>
  <c r="O11" i="5"/>
  <c r="W11" i="5"/>
  <c r="AB11" i="5"/>
  <c r="AH11" i="5"/>
  <c r="AL11" i="5"/>
  <c r="AP11" i="5"/>
  <c r="AV11" i="5"/>
  <c r="AZ11" i="5"/>
  <c r="BE11" i="5"/>
  <c r="BG11" i="5"/>
  <c r="BK11" i="5"/>
  <c r="BM11" i="5"/>
  <c r="BO11" i="5"/>
  <c r="BQ11" i="5"/>
  <c r="BS11" i="5"/>
  <c r="BW11" i="5"/>
  <c r="P11" i="5"/>
  <c r="T11" i="5"/>
  <c r="Z11" i="5"/>
  <c r="AD11" i="5"/>
  <c r="AN11" i="5"/>
  <c r="AT11" i="5"/>
  <c r="BC11" i="5"/>
  <c r="H11" i="5"/>
  <c r="K11" i="5"/>
  <c r="N11" i="5"/>
  <c r="BU11" i="5"/>
  <c r="Y11" i="5"/>
  <c r="AE11" i="5"/>
  <c r="AI11" i="5"/>
  <c r="AM11" i="5"/>
  <c r="AQ11" i="5"/>
  <c r="AX11" i="5"/>
  <c r="BD11" i="5"/>
  <c r="BH11" i="5"/>
  <c r="BJ11" i="5"/>
  <c r="BL11" i="5"/>
  <c r="BN11" i="5"/>
  <c r="BP11" i="5"/>
  <c r="BR11" i="5"/>
  <c r="BT11" i="5"/>
  <c r="BV11" i="5"/>
  <c r="BY11" i="5"/>
  <c r="CA11" i="5"/>
  <c r="CF11" i="5"/>
  <c r="D15" i="5" l="1"/>
  <c r="R18" i="4"/>
  <c r="D13" i="5"/>
  <c r="R16" i="4"/>
  <c r="F13" i="5"/>
  <c r="G13" i="5"/>
  <c r="H13" i="5"/>
  <c r="I13" i="5"/>
  <c r="BZ13" i="5"/>
  <c r="CA13" i="5"/>
  <c r="CB13" i="5"/>
  <c r="CC13" i="5"/>
  <c r="CD13" i="5"/>
  <c r="CE13" i="5"/>
  <c r="CG13" i="5"/>
  <c r="CH13" i="5"/>
  <c r="CI13" i="5"/>
  <c r="K19" i="4"/>
  <c r="R15" i="4"/>
  <c r="D12" i="5"/>
  <c r="BO12" i="5"/>
  <c r="BS12" i="5"/>
  <c r="BW12" i="5"/>
  <c r="BZ12" i="5"/>
  <c r="N13" i="6"/>
  <c r="O13" i="6" s="1"/>
  <c r="M9" i="6"/>
  <c r="L9" i="6" s="1"/>
  <c r="N9" i="6" s="1"/>
  <c r="O9" i="6" s="1"/>
  <c r="N11" i="6"/>
  <c r="O11" i="6" s="1"/>
  <c r="M10" i="6"/>
  <c r="L10" i="6" s="1"/>
  <c r="CF13" i="5" l="1"/>
  <c r="CJ13" i="5"/>
  <c r="CK13" i="5"/>
  <c r="CL13" i="5"/>
  <c r="CB12" i="5"/>
  <c r="CF12" i="5"/>
  <c r="CI12" i="5"/>
  <c r="BN12" i="5"/>
  <c r="BQ12" i="5"/>
  <c r="BV12" i="5"/>
  <c r="BY12" i="5"/>
  <c r="CA12" i="5"/>
  <c r="CE12" i="5"/>
  <c r="CJ12" i="5"/>
  <c r="BR12" i="5"/>
  <c r="BU12" i="5"/>
  <c r="CD12" i="5"/>
  <c r="CG12" i="5"/>
  <c r="F12" i="5"/>
  <c r="G12" i="5"/>
  <c r="H12" i="5"/>
  <c r="I12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BV13" i="5"/>
  <c r="BW13" i="5"/>
  <c r="BX13" i="5"/>
  <c r="BY13" i="5"/>
  <c r="BM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W15" i="5"/>
  <c r="X15" i="5"/>
  <c r="AA15" i="5"/>
  <c r="AC15" i="5"/>
  <c r="AE15" i="5"/>
  <c r="AG15" i="5"/>
  <c r="BJ15" i="5"/>
  <c r="BM15" i="5"/>
  <c r="BP15" i="5"/>
  <c r="BR15" i="5"/>
  <c r="BU15" i="5"/>
  <c r="V15" i="5"/>
  <c r="Y15" i="5"/>
  <c r="Z15" i="5"/>
  <c r="AB15" i="5"/>
  <c r="AD15" i="5"/>
  <c r="AF15" i="5"/>
  <c r="AH15" i="5"/>
  <c r="BL15" i="5"/>
  <c r="BO15" i="5"/>
  <c r="BS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K15" i="5"/>
  <c r="BN15" i="5"/>
  <c r="BQ15" i="5"/>
  <c r="BT15" i="5"/>
  <c r="Q19" i="4"/>
  <c r="C16" i="5"/>
  <c r="L19" i="4"/>
  <c r="N10" i="6"/>
  <c r="O10" i="6" s="1"/>
  <c r="M8" i="6"/>
  <c r="L8" i="6" s="1"/>
  <c r="BV15" i="5"/>
  <c r="BW15" i="5"/>
  <c r="BX15" i="5"/>
  <c r="BY15" i="5"/>
  <c r="BZ15" i="5"/>
  <c r="CA15" i="5"/>
  <c r="CB15" i="5"/>
  <c r="CC15" i="5"/>
  <c r="CD15" i="5"/>
  <c r="CE15" i="5"/>
  <c r="CF15" i="5"/>
  <c r="CG15" i="5"/>
  <c r="CH15" i="5"/>
  <c r="CI15" i="5"/>
  <c r="CJ15" i="5"/>
  <c r="CK15" i="5"/>
  <c r="CL15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P12" i="5"/>
  <c r="BT12" i="5"/>
  <c r="BX12" i="5"/>
  <c r="CC12" i="5"/>
  <c r="CH12" i="5"/>
  <c r="CK12" i="5"/>
  <c r="CL12" i="5"/>
  <c r="F16" i="5" l="1"/>
  <c r="G16" i="5"/>
  <c r="H16" i="5"/>
  <c r="I16" i="5"/>
  <c r="J16" i="5"/>
  <c r="K21" i="4"/>
  <c r="R19" i="4"/>
  <c r="D16" i="5"/>
  <c r="K16" i="5" s="1"/>
  <c r="N8" i="6"/>
  <c r="O8" i="6" s="1"/>
  <c r="M7" i="6"/>
  <c r="L7" i="6" s="1"/>
  <c r="L16" i="5" l="1"/>
  <c r="R16" i="5"/>
  <c r="S16" i="5"/>
  <c r="T16" i="5"/>
  <c r="U16" i="5"/>
  <c r="W16" i="5"/>
  <c r="X16" i="5"/>
  <c r="V16" i="5"/>
  <c r="Y16" i="5"/>
  <c r="Z16" i="5"/>
  <c r="AA16" i="5"/>
  <c r="AB16" i="5"/>
  <c r="AC16" i="5"/>
  <c r="AD16" i="5"/>
  <c r="AG16" i="5"/>
  <c r="AI16" i="5"/>
  <c r="AJ16" i="5"/>
  <c r="AL16" i="5"/>
  <c r="AM16" i="5"/>
  <c r="AN16" i="5"/>
  <c r="AO16" i="5"/>
  <c r="AP16" i="5"/>
  <c r="AQ16" i="5"/>
  <c r="AR16" i="5"/>
  <c r="AS16" i="5"/>
  <c r="AT16" i="5"/>
  <c r="AU16" i="5"/>
  <c r="AV16" i="5"/>
  <c r="BC16" i="5"/>
  <c r="BE16" i="5"/>
  <c r="BG16" i="5"/>
  <c r="BO16" i="5"/>
  <c r="CK16" i="5"/>
  <c r="AH16" i="5"/>
  <c r="AW16" i="5"/>
  <c r="AX16" i="5"/>
  <c r="AY16" i="5"/>
  <c r="AZ16" i="5"/>
  <c r="BA16" i="5"/>
  <c r="BB16" i="5"/>
  <c r="BD16" i="5"/>
  <c r="BF16" i="5"/>
  <c r="BQ16" i="5"/>
  <c r="AF16" i="5"/>
  <c r="BH16" i="5"/>
  <c r="BI16" i="5"/>
  <c r="BJ16" i="5"/>
  <c r="BK16" i="5"/>
  <c r="BL16" i="5"/>
  <c r="BM16" i="5"/>
  <c r="BP16" i="5"/>
  <c r="CL16" i="5"/>
  <c r="BN16" i="5"/>
  <c r="BR16" i="5"/>
  <c r="AE16" i="5"/>
  <c r="C18" i="5"/>
  <c r="L21" i="4"/>
  <c r="Q21" i="4"/>
  <c r="N7" i="6"/>
  <c r="O7" i="6" s="1"/>
  <c r="M6" i="6"/>
  <c r="L6" i="6" s="1"/>
  <c r="M16" i="5"/>
  <c r="N16" i="5"/>
  <c r="O16" i="5"/>
  <c r="P16" i="5"/>
  <c r="Q16" i="5"/>
  <c r="BS16" i="5"/>
  <c r="BT16" i="5"/>
  <c r="BU16" i="5"/>
  <c r="BV16" i="5"/>
  <c r="BW16" i="5"/>
  <c r="BX16" i="5"/>
  <c r="BY16" i="5"/>
  <c r="BZ16" i="5"/>
  <c r="CA16" i="5"/>
  <c r="CB16" i="5"/>
  <c r="CC16" i="5"/>
  <c r="CD16" i="5"/>
  <c r="CE16" i="5"/>
  <c r="CF16" i="5"/>
  <c r="CG16" i="5"/>
  <c r="CH16" i="5"/>
  <c r="CI16" i="5"/>
  <c r="CJ16" i="5"/>
  <c r="AK16" i="5"/>
  <c r="K22" i="4" l="1"/>
  <c r="R21" i="4"/>
  <c r="D18" i="5"/>
  <c r="P18" i="5" s="1"/>
  <c r="N6" i="6"/>
  <c r="O6" i="6" s="1"/>
  <c r="M5" i="6"/>
  <c r="L5" i="6" s="1"/>
  <c r="N5" i="6" s="1"/>
  <c r="O5" i="6" s="1"/>
  <c r="O18" i="5" l="1"/>
  <c r="Q18" i="5"/>
  <c r="R18" i="5"/>
  <c r="S18" i="5"/>
  <c r="T18" i="5"/>
  <c r="U18" i="5"/>
  <c r="V18" i="5"/>
  <c r="W18" i="5"/>
  <c r="X18" i="5"/>
  <c r="AH18" i="5"/>
  <c r="AG18" i="5"/>
  <c r="Y18" i="5"/>
  <c r="Z18" i="5"/>
  <c r="AA18" i="5"/>
  <c r="AB18" i="5"/>
  <c r="AC18" i="5"/>
  <c r="AF18" i="5"/>
  <c r="AI18" i="5"/>
  <c r="AE18" i="5"/>
  <c r="AJ18" i="5"/>
  <c r="AD18" i="5"/>
  <c r="L22" i="4"/>
  <c r="Q22" i="4"/>
  <c r="C19" i="5"/>
  <c r="C24" i="6"/>
  <c r="C27" i="6" s="1"/>
  <c r="C23" i="6"/>
  <c r="F18" i="5"/>
  <c r="G18" i="5"/>
  <c r="H18" i="5"/>
  <c r="I18" i="5"/>
  <c r="J18" i="5"/>
  <c r="K18" i="5"/>
  <c r="L18" i="5"/>
  <c r="M18" i="5"/>
  <c r="N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H18" i="5"/>
  <c r="BJ18" i="5"/>
  <c r="BL18" i="5"/>
  <c r="BO18" i="5"/>
  <c r="BV18" i="5"/>
  <c r="BA18" i="5"/>
  <c r="BB18" i="5"/>
  <c r="BC18" i="5"/>
  <c r="BD18" i="5"/>
  <c r="BE18" i="5"/>
  <c r="BF18" i="5"/>
  <c r="BG18" i="5"/>
  <c r="BI18" i="5"/>
  <c r="BK18" i="5"/>
  <c r="BM18" i="5"/>
  <c r="BN18" i="5"/>
  <c r="CK18" i="5"/>
  <c r="BP18" i="5"/>
  <c r="BQ18" i="5"/>
  <c r="BR18" i="5"/>
  <c r="BS18" i="5"/>
  <c r="BT18" i="5"/>
  <c r="BU18" i="5"/>
  <c r="BW18" i="5"/>
  <c r="BX18" i="5"/>
  <c r="BY18" i="5"/>
  <c r="BZ18" i="5"/>
  <c r="CA18" i="5"/>
  <c r="CB18" i="5"/>
  <c r="CC18" i="5"/>
  <c r="CD18" i="5"/>
  <c r="CE18" i="5"/>
  <c r="CF18" i="5"/>
  <c r="CG18" i="5"/>
  <c r="CH18" i="5"/>
  <c r="CI18" i="5"/>
  <c r="CJ18" i="5"/>
  <c r="CL18" i="5"/>
  <c r="R22" i="4" l="1"/>
  <c r="K23" i="4"/>
  <c r="D19" i="5"/>
  <c r="H19" i="5"/>
  <c r="I19" i="5"/>
  <c r="J19" i="5"/>
  <c r="K19" i="5" l="1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H19" i="5"/>
  <c r="AI19" i="5"/>
  <c r="AK19" i="5"/>
  <c r="AL19" i="5"/>
  <c r="AM19" i="5"/>
  <c r="AN19" i="5"/>
  <c r="AO19" i="5"/>
  <c r="AP19" i="5"/>
  <c r="AQ19" i="5"/>
  <c r="AR19" i="5"/>
  <c r="AT19" i="5"/>
  <c r="AU19" i="5"/>
  <c r="AW19" i="5"/>
  <c r="AX19" i="5"/>
  <c r="BA19" i="5"/>
  <c r="BC19" i="5"/>
  <c r="BE19" i="5"/>
  <c r="BG19" i="5"/>
  <c r="BI19" i="5"/>
  <c r="BK19" i="5"/>
  <c r="BP19" i="5"/>
  <c r="AJ19" i="5"/>
  <c r="AS19" i="5"/>
  <c r="AV19" i="5"/>
  <c r="AY19" i="5"/>
  <c r="BB19" i="5"/>
  <c r="BD19" i="5"/>
  <c r="BF19" i="5"/>
  <c r="BH19" i="5"/>
  <c r="BJ19" i="5"/>
  <c r="BN19" i="5"/>
  <c r="BQ19" i="5"/>
  <c r="AZ19" i="5"/>
  <c r="F19" i="5"/>
  <c r="G19" i="5"/>
  <c r="BO19" i="5"/>
  <c r="BL19" i="5"/>
  <c r="BM19" i="5"/>
  <c r="BR19" i="5"/>
  <c r="BS19" i="5"/>
  <c r="BT19" i="5"/>
  <c r="BU19" i="5"/>
  <c r="BV19" i="5"/>
  <c r="BW19" i="5"/>
  <c r="Q23" i="4"/>
  <c r="C20" i="5"/>
  <c r="L23" i="4"/>
  <c r="AF19" i="5"/>
  <c r="AG19" i="5"/>
  <c r="BX19" i="5"/>
  <c r="BY19" i="5"/>
  <c r="BZ19" i="5"/>
  <c r="CA19" i="5"/>
  <c r="CB19" i="5"/>
  <c r="CC19" i="5"/>
  <c r="CD19" i="5"/>
  <c r="CE19" i="5"/>
  <c r="CF19" i="5"/>
  <c r="CG19" i="5"/>
  <c r="CH19" i="5"/>
  <c r="CI19" i="5"/>
  <c r="CJ19" i="5"/>
  <c r="CK19" i="5"/>
  <c r="CL19" i="5"/>
  <c r="C26" i="4" l="1"/>
  <c r="R23" i="4"/>
  <c r="D20" i="5"/>
  <c r="H20" i="5" s="1"/>
  <c r="I20" i="5" l="1"/>
  <c r="J20" i="5"/>
  <c r="K20" i="5"/>
  <c r="L20" i="5"/>
  <c r="P20" i="5"/>
  <c r="Q20" i="5"/>
  <c r="R20" i="5"/>
  <c r="S20" i="5"/>
  <c r="F20" i="5"/>
  <c r="G20" i="5"/>
  <c r="T20" i="5"/>
  <c r="U20" i="5"/>
  <c r="V20" i="5"/>
  <c r="W20" i="5"/>
  <c r="X20" i="5"/>
  <c r="Y20" i="5"/>
  <c r="Z20" i="5"/>
  <c r="AA20" i="5"/>
  <c r="C34" i="4"/>
  <c r="C29" i="6"/>
  <c r="D29" i="6" s="1"/>
  <c r="N23" i="4"/>
  <c r="M23" i="4" s="1"/>
  <c r="C31" i="4"/>
  <c r="C35" i="4" s="1"/>
  <c r="M20" i="5"/>
  <c r="N20" i="5"/>
  <c r="O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O20" i="5"/>
  <c r="AP20" i="5"/>
  <c r="AQ20" i="5"/>
  <c r="AR20" i="5"/>
  <c r="AS20" i="5"/>
  <c r="AU20" i="5"/>
  <c r="AV20" i="5"/>
  <c r="AN20" i="5"/>
  <c r="AT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CD20" i="5"/>
  <c r="CE20" i="5"/>
  <c r="CF20" i="5"/>
  <c r="CG20" i="5"/>
  <c r="CH20" i="5"/>
  <c r="CI20" i="5"/>
  <c r="CJ20" i="5"/>
  <c r="CK20" i="5"/>
  <c r="CL20" i="5"/>
  <c r="O23" i="4" l="1"/>
  <c r="P23" i="4" s="1"/>
  <c r="E20" i="5" s="1"/>
  <c r="N22" i="4"/>
  <c r="M22" i="4" s="1"/>
  <c r="N21" i="4" l="1"/>
  <c r="M21" i="4" s="1"/>
  <c r="O22" i="4"/>
  <c r="P22" i="4" s="1"/>
  <c r="E19" i="5" s="1"/>
  <c r="N19" i="4" l="1"/>
  <c r="M19" i="4" s="1"/>
  <c r="N20" i="4"/>
  <c r="M20" i="4" s="1"/>
  <c r="O20" i="4" s="1"/>
  <c r="P20" i="4" s="1"/>
  <c r="E17" i="5" s="1"/>
  <c r="O21" i="4"/>
  <c r="P21" i="4" s="1"/>
  <c r="E18" i="5" s="1"/>
  <c r="N18" i="4"/>
  <c r="M18" i="4" s="1"/>
  <c r="N16" i="4"/>
  <c r="M16" i="4" s="1"/>
  <c r="O16" i="4" s="1"/>
  <c r="P16" i="4" s="1"/>
  <c r="E13" i="5" s="1"/>
  <c r="N15" i="4" l="1"/>
  <c r="M15" i="4" s="1"/>
  <c r="O19" i="4"/>
  <c r="P19" i="4" s="1"/>
  <c r="E16" i="5" s="1"/>
  <c r="N17" i="4"/>
  <c r="M17" i="4" s="1"/>
  <c r="O18" i="4"/>
  <c r="P18" i="4" s="1"/>
  <c r="E15" i="5" s="1"/>
  <c r="O15" i="4" l="1"/>
  <c r="P15" i="4" s="1"/>
  <c r="E12" i="5" s="1"/>
  <c r="N14" i="4"/>
  <c r="M14" i="4" s="1"/>
  <c r="N13" i="4"/>
  <c r="M13" i="4" s="1"/>
  <c r="O13" i="4" s="1"/>
  <c r="P13" i="4" s="1"/>
  <c r="E10" i="5" s="1"/>
  <c r="O17" i="4"/>
  <c r="P17" i="4" s="1"/>
  <c r="E14" i="5" s="1"/>
  <c r="N12" i="4" l="1"/>
  <c r="M12" i="4" s="1"/>
  <c r="O14" i="4"/>
  <c r="P14" i="4" s="1"/>
  <c r="E11" i="5" s="1"/>
  <c r="O12" i="4" l="1"/>
  <c r="P12" i="4" s="1"/>
  <c r="E9" i="5" s="1"/>
  <c r="N11" i="4"/>
  <c r="M11" i="4" s="1"/>
  <c r="N10" i="4" l="1"/>
  <c r="M10" i="4" s="1"/>
  <c r="O11" i="4"/>
  <c r="P11" i="4" s="1"/>
  <c r="E8" i="5" s="1"/>
  <c r="O10" i="4" l="1"/>
  <c r="P10" i="4" s="1"/>
  <c r="E7" i="5" s="1"/>
  <c r="N9" i="4"/>
  <c r="M9" i="4" s="1"/>
  <c r="O9" i="4" s="1"/>
  <c r="P9" i="4" s="1"/>
  <c r="E6" i="5" l="1"/>
  <c r="C27" i="4"/>
  <c r="C28" i="4"/>
  <c r="C29" i="4" s="1"/>
  <c r="C32" i="4" s="1"/>
  <c r="C3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S8" authorId="0" shapeId="0" xr:uid="{9F18F2D9-D76A-4336-A849-54A22A38DA58}">
      <text>
        <r>
          <rPr>
            <b/>
            <sz val="9"/>
            <color indexed="81"/>
            <rFont val="Tahoma"/>
            <charset val="1"/>
          </rPr>
          <t>Nguồn: Claude Project, chat Bai3_Lich (04/10/2026) – Claude ghi TE dạng phân số, ví dụ A = 31/6.</t>
        </r>
      </text>
    </comment>
  </commentList>
</comments>
</file>

<file path=xl/sharedStrings.xml><?xml version="1.0" encoding="utf-8"?>
<sst xmlns="http://schemas.openxmlformats.org/spreadsheetml/2006/main" count="669" uniqueCount="486">
  <si>
    <t>LỊCH DỰ ÁN PHARMADASH – Bài Lab QLDA CNTT</t>
  </si>
  <si>
    <t>Dự án giả định: xây dựng Dashboard điều hành cho chuỗi Nhà thuốc Hữu Duyên (hư cấu). Đơn vị thời gian: ngày làm việc (T2–T6).</t>
  </si>
  <si>
    <t>Quy ước màu</t>
  </si>
  <si>
    <t>Chữ xanh dương</t>
  </si>
  <si>
    <t>Số liệu đầu vào (giả định) – được phép sửa: giờ công, đơn giá, O/M/P, xác suất/tác động...</t>
  </si>
  <si>
    <t>Chữ đen</t>
  </si>
  <si>
    <t>Công thức – KHÔNG sửa, tự tính lại khi đầu vào thay đổi.</t>
  </si>
  <si>
    <t>Nền vàng</t>
  </si>
  <si>
    <t>Ô nhóm phải TỰ ĐIỀN (kết quả AI trong Claude Project để so sánh, rủi ro nhóm tự bổ sung...).</t>
  </si>
  <si>
    <t>Các sheet</t>
  </si>
  <si>
    <t>WBS</t>
  </si>
  <si>
    <t>WBS 3 cấp, giờ công từng gói công việc, tự kiểm tra quy tắc 8/80 và tổng giờ (quy tắc 100%).</t>
  </si>
  <si>
    <t>ChiPhi</t>
  </si>
  <si>
    <t>Ước lượng chi phí từ giờ công WBS × đơn giá theo vai trò + chi phí khác + dự phòng, so với ngân sách.</t>
  </si>
  <si>
    <t>PERT</t>
  </si>
  <si>
    <t>Ước lượng 3 điểm TE = (O + 4M + P)/6, ES/EF/LS/LF, Slack, đường găng, độ lệch chuẩn, xác suất kịp hạn. Cột "TE theo AI" để nhóm nhập kết quả Claude trả lời và so sánh.</t>
  </si>
  <si>
    <t>Gantt</t>
  </si>
  <si>
    <t>Biểu đồ Gantt tự vẽ từ ES/EF (đỏ = hoạt động găng, xanh = không găng, cột cam = hạn chót).</t>
  </si>
  <si>
    <t>NenLich</t>
  </si>
  <si>
    <t>Kịch bản nén lịch (fast-tracking + giảm phạm vi) – lịch mới, đường găng mới, xác suất kịp hạn.</t>
  </si>
  <si>
    <t>RuiRo</t>
  </si>
  <si>
    <t>Sổ đăng ký rủi ro (Risk Register), sắp theo điểm giảm dần. 2 dòng cuối để nhóm tự bổ sung.</t>
  </si>
  <si>
    <t>MaTran</t>
  </si>
  <si>
    <t>Ma trận xác suất × tác động 5×5, tự điền mã rủi ro theo sheet RuiRo.</t>
  </si>
  <si>
    <t>Lưu ý</t>
  </si>
  <si>
    <t>Các số O/M/P, giờ công, đơn giá là GIẢ ĐỊNH do AI đề xuất làm bản nháp – nhóm cần xem lại và điều chỉnh theo ý kiến của nhóm.</t>
  </si>
  <si>
    <t>Nếu sửa XS/TĐ trong sheet RuiRo, hãy sắp xếp lại bảng theo cột Điểm (Data → Sort) để đúng yêu cầu "sắp theo điểm giảm dần".</t>
  </si>
  <si>
    <t>Nếu thêm/bớt hoạt động PERT, phải sửa lại công thức ES (MAX EF của hoạt động trước) và LF (MIN LS của hoạt động sau).</t>
  </si>
  <si>
    <t>CẤU TRÚC PHÂN RÃ CÔNG VIỆC (WBS) – PHARMADASH</t>
  </si>
  <si>
    <t>Giờ công là giả định (chữ xanh). Cấp 1–2 tự cộng từ các gói công việc cấp 3. Quy tắc 8/80: mỗi gói 8–80 giờ công.</t>
  </si>
  <si>
    <t>Mã WBS</t>
  </si>
  <si>
    <t>Cấp</t>
  </si>
  <si>
    <t>Tên hạng mục / gói công việc</t>
  </si>
  <si>
    <t>Sản phẩm bàn giao</t>
  </si>
  <si>
    <t>Vai trò chính</t>
  </si>
  <si>
    <t>Giờ công</t>
  </si>
  <si>
    <t>Kiểm tra 8/80</t>
  </si>
  <si>
    <t>1.0</t>
  </si>
  <si>
    <t>Quản lý dự án</t>
  </si>
  <si>
    <t>Hồ sơ quản lý dự án</t>
  </si>
  <si>
    <t>PM</t>
  </si>
  <si>
    <t>1.1</t>
  </si>
  <si>
    <t xml:space="preserve">    Khởi động dự án</t>
  </si>
  <si>
    <t>Charter đã phê duyệt</t>
  </si>
  <si>
    <t>1.1.1</t>
  </si>
  <si>
    <t xml:space="preserve">        Soạn và phê duyệt Project Charter</t>
  </si>
  <si>
    <t>Project Charter có chữ ký Sponsor</t>
  </si>
  <si>
    <t>1.1.2</t>
  </si>
  <si>
    <t xml:space="preserve">        Họp khởi động (kick-off)</t>
  </si>
  <si>
    <t>Biên bản họp khởi động</t>
  </si>
  <si>
    <t>1.2</t>
  </si>
  <si>
    <t xml:space="preserve">    Lập kế hoạch</t>
  </si>
  <si>
    <t>Kế hoạch quản lý dự án</t>
  </si>
  <si>
    <t>1.2.1</t>
  </si>
  <si>
    <t xml:space="preserve">        WBS và từ điển WBS</t>
  </si>
  <si>
    <t>WBS 3 cấp + từ điển WBS</t>
  </si>
  <si>
    <t>1.2.2</t>
  </si>
  <si>
    <t xml:space="preserve">        Lịch dự án và dự toán chi phí</t>
  </si>
  <si>
    <t>File lịch PERT/Gantt, dự toán</t>
  </si>
  <si>
    <t>1.2.3</t>
  </si>
  <si>
    <t xml:space="preserve">        Kế hoạch quản lý rủi ro</t>
  </si>
  <si>
    <t>Risk Register</t>
  </si>
  <si>
    <t>1.3</t>
  </si>
  <si>
    <t xml:space="preserve">    Giám sát và kiểm soát</t>
  </si>
  <si>
    <t>Báo cáo tiến độ</t>
  </si>
  <si>
    <t>1.3.1</t>
  </si>
  <si>
    <t xml:space="preserve">        Họp tiến độ hằng tuần và báo cáo (13 tuần)</t>
  </si>
  <si>
    <t>13 báo cáo tuần</t>
  </si>
  <si>
    <t>1.3.2</t>
  </si>
  <si>
    <t xml:space="preserve">        Demo cuối tháng với Giám đốc (3 lần)</t>
  </si>
  <si>
    <t>3 biên bản demo, danh sách yêu cầu thay đổi</t>
  </si>
  <si>
    <t>1.4</t>
  </si>
  <si>
    <t xml:space="preserve">    Kết thúc dự án</t>
  </si>
  <si>
    <t>Hồ sơ đóng dự án</t>
  </si>
  <si>
    <t>1.4.1</t>
  </si>
  <si>
    <t xml:space="preserve">        Nghiệm thu, bàn giao và rút kinh nghiệm</t>
  </si>
  <si>
    <t>Biên bản nghiệm thu, báo cáo bài học</t>
  </si>
  <si>
    <t>2.0</t>
  </si>
  <si>
    <t>Phân tích yêu cầu</t>
  </si>
  <si>
    <t>Tài liệu SRS đã duyệt</t>
  </si>
  <si>
    <t>BA</t>
  </si>
  <si>
    <t>2.1</t>
  </si>
  <si>
    <t xml:space="preserve">    Khảo sát nghiệp vụ</t>
  </si>
  <si>
    <t>Báo cáo khảo sát</t>
  </si>
  <si>
    <t>2.1.1</t>
  </si>
  <si>
    <t xml:space="preserve">        Phỏng vấn chủ, quản lý, nhân viên 2 chi nhánh</t>
  </si>
  <si>
    <t>Biên bản phỏng vấn, quy trình hiện tại (AS-IS)</t>
  </si>
  <si>
    <t>2.1.2</t>
  </si>
  <si>
    <t xml:space="preserve">        Khảo sát phần mềm bán hàng và file Excel tồn kho</t>
  </si>
  <si>
    <t>Báo cáo hiện trạng dữ liệu</t>
  </si>
  <si>
    <t>2.2</t>
  </si>
  <si>
    <t xml:space="preserve">    Đặc tả yêu cầu</t>
  </si>
  <si>
    <t>SRS</t>
  </si>
  <si>
    <t>2.2.1</t>
  </si>
  <si>
    <t xml:space="preserve">        Viết user story và tiêu chí chấp nhận</t>
  </si>
  <si>
    <t>Product backlog có tiêu chí chấp nhận</t>
  </si>
  <si>
    <t>2.2.2</t>
  </si>
  <si>
    <t xml:space="preserve">        Đặc tả use case và quy tắc nghiệp vụ (hạn dùng, phân quyền)</t>
  </si>
  <si>
    <t>Tài liệu use case</t>
  </si>
  <si>
    <t>2.2.3</t>
  </si>
  <si>
    <t xml:space="preserve">        Rà soát và phê duyệt SRS với khách hàng</t>
  </si>
  <si>
    <t>SRS có xác nhận của khách hàng</t>
  </si>
  <si>
    <t>3.0</t>
  </si>
  <si>
    <t>Thiết kế hệ thống</t>
  </si>
  <si>
    <t>Tài liệu thiết kế</t>
  </si>
  <si>
    <t>BE</t>
  </si>
  <si>
    <t>3.1</t>
  </si>
  <si>
    <t xml:space="preserve">    Thiết kế kiến trúc và dữ liệu</t>
  </si>
  <si>
    <t>Tài liệu kiến trúc</t>
  </si>
  <si>
    <t>3.1.1</t>
  </si>
  <si>
    <t xml:space="preserve">        Thiết kế kiến trúc hệ thống</t>
  </si>
  <si>
    <t>Sơ đồ kiến trúc</t>
  </si>
  <si>
    <t>3.1.2</t>
  </si>
  <si>
    <t xml:space="preserve">        Thiết kế CSDL (ERD, tồn kho theo lô)</t>
  </si>
  <si>
    <t>ERD, script tạo CSDL</t>
  </si>
  <si>
    <t>3.1.3</t>
  </si>
  <si>
    <t xml:space="preserve">        Đặc tả API</t>
  </si>
  <si>
    <t>Danh sách API</t>
  </si>
  <si>
    <t>3.2</t>
  </si>
  <si>
    <t xml:space="preserve">    Thiết kế giao diện</t>
  </si>
  <si>
    <t>Bộ thiết kế UI</t>
  </si>
  <si>
    <t>FE</t>
  </si>
  <si>
    <t>3.2.1</t>
  </si>
  <si>
    <t xml:space="preserve">        Design token và wireframe</t>
  </si>
  <si>
    <t>Wireframe, bảng màu, font</t>
  </si>
  <si>
    <t>3.2.2</t>
  </si>
  <si>
    <t xml:space="preserve">        Mockup các màn hình chính</t>
  </si>
  <si>
    <t>Mockup 8 màn hình</t>
  </si>
  <si>
    <t>4.0</t>
  </si>
  <si>
    <t>Phát triển Backend</t>
  </si>
  <si>
    <t>API và CSDL hoạt động</t>
  </si>
  <si>
    <t>4.1</t>
  </si>
  <si>
    <t xml:space="preserve">    Nền tảng backend</t>
  </si>
  <si>
    <t>Khung dự án chạy được</t>
  </si>
  <si>
    <t>4.1.1</t>
  </si>
  <si>
    <t xml:space="preserve">        Khung dự án, CSDL, môi trường</t>
  </si>
  <si>
    <t>Mã nguồn khởi tạo, CSDL</t>
  </si>
  <si>
    <t>4.1.2</t>
  </si>
  <si>
    <t xml:space="preserve">        Xác thực và phân quyền 3 vai trò</t>
  </si>
  <si>
    <t>API đăng nhập, phân quyền</t>
  </si>
  <si>
    <t>4.2</t>
  </si>
  <si>
    <t xml:space="preserve">    API nghiệp vụ</t>
  </si>
  <si>
    <t>Bộ API nghiệp vụ</t>
  </si>
  <si>
    <t>4.2.1</t>
  </si>
  <si>
    <t xml:space="preserve">        API tổng quan (KPI, biểu đồ, top thuốc)</t>
  </si>
  <si>
    <t>API dashboard</t>
  </si>
  <si>
    <t>4.2.2</t>
  </si>
  <si>
    <t xml:space="preserve">        API kho thuốc, lô và cảnh báo</t>
  </si>
  <si>
    <t>API kho</t>
  </si>
  <si>
    <t>4.2.3</t>
  </si>
  <si>
    <t xml:space="preserve">        API đơn hàng và khách hàng</t>
  </si>
  <si>
    <t>API đơn hàng, khách hàng</t>
  </si>
  <si>
    <t>4.2.4</t>
  </si>
  <si>
    <t xml:space="preserve">        API nhập hàng và nhà cung cấp</t>
  </si>
  <si>
    <t>API nhập hàng</t>
  </si>
  <si>
    <t>4.2.5</t>
  </si>
  <si>
    <t xml:space="preserve">        API nhân viên, ca làm, lịch</t>
  </si>
  <si>
    <t>API nhân viên</t>
  </si>
  <si>
    <t>4.3</t>
  </si>
  <si>
    <t xml:space="preserve">    Báo cáo</t>
  </si>
  <si>
    <t>Chức năng xuất báo cáo</t>
  </si>
  <si>
    <t>4.3.1</t>
  </si>
  <si>
    <t xml:space="preserve">        Xuất báo cáo CSV/PDF doanh thu, tồn kho</t>
  </si>
  <si>
    <t>File CSV/PDF mẫu</t>
  </si>
  <si>
    <t>4.4</t>
  </si>
  <si>
    <t xml:space="preserve">    Tích hợp và chuyển đổi dữ liệu</t>
  </si>
  <si>
    <t>Dữ liệu thật trên hệ thống</t>
  </si>
  <si>
    <t>4.4.1</t>
  </si>
  <si>
    <t xml:space="preserve">        Đồng bộ dữ liệu bán hàng từ phần mềm bán hàng hiện có</t>
  </si>
  <si>
    <t>Bộ đồng bộ dữ liệu</t>
  </si>
  <si>
    <t>4.4.2</t>
  </si>
  <si>
    <t xml:space="preserve">        Chuyển đổi dữ liệu cũ (danh mục, tồn kho, 2 năm bán hàng)</t>
  </si>
  <si>
    <t>Script chuyển đổi + báo cáo đối soát</t>
  </si>
  <si>
    <t>5.0</t>
  </si>
  <si>
    <t>Phát triển Frontend</t>
  </si>
  <si>
    <t>Giao diện web hoàn chỉnh</t>
  </si>
  <si>
    <t>5.1</t>
  </si>
  <si>
    <t xml:space="preserve">    Khung giao diện</t>
  </si>
  <si>
    <t>Layout và thư viện component</t>
  </si>
  <si>
    <t>5.1.1</t>
  </si>
  <si>
    <t xml:space="preserve">        Layout, sidebar, topbar, đăng nhập</t>
  </si>
  <si>
    <t>Khung ứng dụng</t>
  </si>
  <si>
    <t>5.1.2</t>
  </si>
  <si>
    <t xml:space="preserve">        Thư viện component dùng chung</t>
  </si>
  <si>
    <t>KpiCard, ChartCard, DataTable...</t>
  </si>
  <si>
    <t>5.2</t>
  </si>
  <si>
    <t xml:space="preserve">    Màn hình nghiệp vụ</t>
  </si>
  <si>
    <t>Các trang chức năng</t>
  </si>
  <si>
    <t>5.2.1</t>
  </si>
  <si>
    <t xml:space="preserve">        Trang Tổng quan (dashboard)</t>
  </si>
  <si>
    <t>Trang Tổng quan</t>
  </si>
  <si>
    <t>5.2.2</t>
  </si>
  <si>
    <t xml:space="preserve">        Trang Kho thuốc và cảnh báo</t>
  </si>
  <si>
    <t>Trang Kho thuốc</t>
  </si>
  <si>
    <t>5.2.3</t>
  </si>
  <si>
    <t xml:space="preserve">        Trang Đơn hàng và Khách hàng</t>
  </si>
  <si>
    <t>2 trang</t>
  </si>
  <si>
    <t>5.2.4</t>
  </si>
  <si>
    <t xml:space="preserve">        Trang Nhập hàng và Nhà cung cấp</t>
  </si>
  <si>
    <t>Trang Nhập hàng</t>
  </si>
  <si>
    <t>5.2.5</t>
  </si>
  <si>
    <t xml:space="preserve">        Trang Nhân viên, Báo cáo, Cài đặt</t>
  </si>
  <si>
    <t>3 trang</t>
  </si>
  <si>
    <t>5.3</t>
  </si>
  <si>
    <t xml:space="preserve">    Hoàn thiện giao diện</t>
  </si>
  <si>
    <t>Giao diện đạt yêu cầu phi chức năng</t>
  </si>
  <si>
    <t>5.3.1</t>
  </si>
  <si>
    <t xml:space="preserve">        Responsive, dark mode, tối ưu hiệu năng</t>
  </si>
  <si>
    <t>Giao diện chạy tốt trên PC/tablet</t>
  </si>
  <si>
    <t>6.0</t>
  </si>
  <si>
    <t>Kiểm thử</t>
  </si>
  <si>
    <t>Sản phẩm đạt chất lượng</t>
  </si>
  <si>
    <t>QA</t>
  </si>
  <si>
    <t>6.1</t>
  </si>
  <si>
    <t xml:space="preserve">    Chuẩn bị kiểm thử</t>
  </si>
  <si>
    <t>Kế hoạch kiểm thử</t>
  </si>
  <si>
    <t>6.1.1</t>
  </si>
  <si>
    <t xml:space="preserve">        Kế hoạch kiểm thử và test case</t>
  </si>
  <si>
    <t>Test plan, bộ test case</t>
  </si>
  <si>
    <t>6.2</t>
  </si>
  <si>
    <t xml:space="preserve">    Thực thi kiểm thử</t>
  </si>
  <si>
    <t>Báo cáo kiểm thử</t>
  </si>
  <si>
    <t>6.2.1</t>
  </si>
  <si>
    <t xml:space="preserve">        Kiểm thử chức năng</t>
  </si>
  <si>
    <t>Kết quả chạy test case, báo cáo lỗi</t>
  </si>
  <si>
    <t>6.2.2</t>
  </si>
  <si>
    <t xml:space="preserve">        Kiểm thử phân quyền và bảo mật</t>
  </si>
  <si>
    <t>Báo cáo kiểm thử bảo mật</t>
  </si>
  <si>
    <t>6.2.3</t>
  </si>
  <si>
    <t xml:space="preserve">        Kiểm thử hiệu năng</t>
  </si>
  <si>
    <t>Báo cáo hiệu năng</t>
  </si>
  <si>
    <t>6.2.4</t>
  </si>
  <si>
    <t xml:space="preserve">        Sửa lỗi và kiểm thử hồi quy</t>
  </si>
  <si>
    <t>Bản build ổn định</t>
  </si>
  <si>
    <t>6.3</t>
  </si>
  <si>
    <t xml:space="preserve">    Nghiệm thu</t>
  </si>
  <si>
    <t>Biên bản UAT</t>
  </si>
  <si>
    <t>6.3.1</t>
  </si>
  <si>
    <t xml:space="preserve">        Kiểm thử chấp nhận (UAT) với khách hàng</t>
  </si>
  <si>
    <t>Biên bản UAT đã ký</t>
  </si>
  <si>
    <t>7.0</t>
  </si>
  <si>
    <t>Triển khai và chuyển giao</t>
  </si>
  <si>
    <t>Hệ thống vận hành chính thức</t>
  </si>
  <si>
    <t>7.1</t>
  </si>
  <si>
    <t xml:space="preserve">    Triển khai</t>
  </si>
  <si>
    <t>Hệ thống trên máy chủ thật</t>
  </si>
  <si>
    <t>7.1.1</t>
  </si>
  <si>
    <t xml:space="preserve">        Chuẩn bị hạ tầng, sao lưu, bảo mật</t>
  </si>
  <si>
    <t>Máy chủ, HTTPS, lịch sao lưu</t>
  </si>
  <si>
    <t>7.1.2</t>
  </si>
  <si>
    <t xml:space="preserve">        Go-live và chuyển dữ liệu chính thức</t>
  </si>
  <si>
    <t>Hệ thống chạy thật</t>
  </si>
  <si>
    <t>7.2</t>
  </si>
  <si>
    <t xml:space="preserve">    Đào tạo và hỗ trợ</t>
  </si>
  <si>
    <t>Người dùng sử dụng được</t>
  </si>
  <si>
    <t>7.2.1</t>
  </si>
  <si>
    <t xml:space="preserve">        Tài liệu hướng dẫn sử dụng</t>
  </si>
  <si>
    <t>Hướng dẫn sử dụng theo vai trò</t>
  </si>
  <si>
    <t>7.2.2</t>
  </si>
  <si>
    <t xml:space="preserve">        Đào tạo người dùng tại 2 chi nhánh</t>
  </si>
  <si>
    <t>2 buổi đào tạo, danh sách tham dự</t>
  </si>
  <si>
    <t>7.2.3</t>
  </si>
  <si>
    <t xml:space="preserve">        Hỗ trợ sau go-live (2 tuần)</t>
  </si>
  <si>
    <t>Nhật ký hỗ trợ</t>
  </si>
  <si>
    <t>Tổng giờ công các gói công việc (cấp 3)</t>
  </si>
  <si>
    <t>Tổng giờ công các hạng mục cấp 1 (phải bằng dòng trên – quy tắc 100%)</t>
  </si>
  <si>
    <t>Số gói công việc vi phạm quy tắc 8/80</t>
  </si>
  <si>
    <t>ƯỚC LƯỢNG CHI PHÍ DỰ ÁN (VND)</t>
  </si>
  <si>
    <t>Đơn giá là giả định của nhóm (chi phí công ty gồm lương + bảo hiểm, tính theo giờ), không phải báo giá thật.</t>
  </si>
  <si>
    <t>Vai trò</t>
  </si>
  <si>
    <t>Diễn giải</t>
  </si>
  <si>
    <t>Đơn giá (VND/giờ)</t>
  </si>
  <si>
    <t>Giờ công (từ WBS)</t>
  </si>
  <si>
    <t>Thành tiền (VND)</t>
  </si>
  <si>
    <t>Phân tích nghiệp vụ</t>
  </si>
  <si>
    <t>Lập trình viên backend</t>
  </si>
  <si>
    <t>Lập trình viên frontend (kiêm thiết kế UI)</t>
  </si>
  <si>
    <t>Kiểm thử viên</t>
  </si>
  <si>
    <t>Cộng nhân công</t>
  </si>
  <si>
    <t>Kiểm tra: giờ công khớp tổng WBS?</t>
  </si>
  <si>
    <t>Chi phí khác</t>
  </si>
  <si>
    <t>Số lượng</t>
  </si>
  <si>
    <t>Đơn giá (VND)</t>
  </si>
  <si>
    <t>Hosting</t>
  </si>
  <si>
    <t>Máy chủ ảo (VPS) năm đầu, 12 tháng</t>
  </si>
  <si>
    <t>Tên miền + SSL</t>
  </si>
  <si>
    <t>Tên miền .vn và chứng chỉ SSL 1 năm</t>
  </si>
  <si>
    <t>Đào tạo</t>
  </si>
  <si>
    <t>In tài liệu, đi lại cho 2 buổi đào tạo</t>
  </si>
  <si>
    <t>Cộng chi phí khác</t>
  </si>
  <si>
    <t>Chi phí trực tiếp</t>
  </si>
  <si>
    <t>Tỷ lệ dự phòng</t>
  </si>
  <si>
    <t>Dự phòng rủi ro (contingency reserve)</t>
  </si>
  <si>
    <t>TỔNG DỰ TOÁN</t>
  </si>
  <si>
    <t>Ngân sách được duyệt</t>
  </si>
  <si>
    <t>Theo tài liệu yêu cầu khách hàng</t>
  </si>
  <si>
    <t>Còn lại</t>
  </si>
  <si>
    <t>Tỷ lệ sử dụng</t>
  </si>
  <si>
    <t>Kết luận</t>
  </si>
  <si>
    <t>ƯỚC LƯỢNG PERT 3 ĐIỂM &amp; ĐƯỜNG GĂNG (CPM) – đơn vị: ngày làm việc</t>
  </si>
  <si>
    <t>Ngày khởi động</t>
  </si>
  <si>
    <t>Ngày làm việc thứ 1 = ngày khởi động. Chưa trừ ngày nghỉ lễ (giai đoạn 10–12/2026 không có ngày lễ).</t>
  </si>
  <si>
    <t>Hạn chót go-live</t>
  </si>
  <si>
    <t>Số ngày làm việc tới hạn</t>
  </si>
  <si>
    <t>Mã</t>
  </si>
  <si>
    <t>Hoạt động</t>
  </si>
  <si>
    <t>WBS liên quan</t>
  </si>
  <si>
    <t>Hoạt động trước</t>
  </si>
  <si>
    <t>O</t>
  </si>
  <si>
    <t>M</t>
  </si>
  <si>
    <t>P</t>
  </si>
  <si>
    <t>TE = (O+4M+P)/6</t>
  </si>
  <si>
    <t>σ = (P−O)/6</t>
  </si>
  <si>
    <t>σ²</t>
  </si>
  <si>
    <t>ES</t>
  </si>
  <si>
    <t>EF</t>
  </si>
  <si>
    <t>LS</t>
  </si>
  <si>
    <t>LF</t>
  </si>
  <si>
    <t>Slack</t>
  </si>
  <si>
    <t>Găng?</t>
  </si>
  <si>
    <t>Ngày bắt đầu</t>
  </si>
  <si>
    <t>Ngày kết thúc</t>
  </si>
  <si>
    <t>TE theo AI (nhóm nhập)</t>
  </si>
  <si>
    <t>Chênh lệch Excel − AI</t>
  </si>
  <si>
    <t>A</t>
  </si>
  <si>
    <t>Khởi động và lập kế hoạch (Charter, WBS, lịch)</t>
  </si>
  <si>
    <t>1.1, 1.2</t>
  </si>
  <si>
    <t>—</t>
  </si>
  <si>
    <t>B</t>
  </si>
  <si>
    <t>Khảo sát nghiệp vụ và dữ liệu hiện có</t>
  </si>
  <si>
    <t>C</t>
  </si>
  <si>
    <t>Đặc tả yêu cầu (SRS) và phê duyệt</t>
  </si>
  <si>
    <t>D</t>
  </si>
  <si>
    <t>Thiết kế kiến trúc, CSDL, API</t>
  </si>
  <si>
    <t>E</t>
  </si>
  <si>
    <t>Thiết kế giao diện (wireframe, mockup)</t>
  </si>
  <si>
    <t>F</t>
  </si>
  <si>
    <t>Nền tảng backend, xác thực và phân quyền</t>
  </si>
  <si>
    <t>G</t>
  </si>
  <si>
    <t>Phát triển API nghiệp vụ</t>
  </si>
  <si>
    <t>H</t>
  </si>
  <si>
    <t>Tích hợp phần mềm bán hàng, chuyển đổi dữ liệu</t>
  </si>
  <si>
    <t>I</t>
  </si>
  <si>
    <t>Khung giao diện và thư viện component</t>
  </si>
  <si>
    <t>J</t>
  </si>
  <si>
    <t>Phát triển các màn hình nghiệp vụ</t>
  </si>
  <si>
    <t>5.2, 5.3</t>
  </si>
  <si>
    <t>I, F</t>
  </si>
  <si>
    <t>K</t>
  </si>
  <si>
    <t>Chức năng xuất báo cáo CSV/PDF</t>
  </si>
  <si>
    <t>L</t>
  </si>
  <si>
    <t>Kế hoạch kiểm thử và test case</t>
  </si>
  <si>
    <t>Kiểm thử hệ thống và sửa lỗi</t>
  </si>
  <si>
    <t>J, K, H, L</t>
  </si>
  <si>
    <t>N</t>
  </si>
  <si>
    <t>Kiểm thử chấp nhận (UAT) và nghiệm thu</t>
  </si>
  <si>
    <t>Go-live, đào tạo người dùng</t>
  </si>
  <si>
    <t>7.1, 7.2</t>
  </si>
  <si>
    <t>KẾT QUẢ</t>
  </si>
  <si>
    <t>Thời gian dự án kỳ vọng T (ngày làm việc)</t>
  </si>
  <si>
    <t>Đường găng</t>
  </si>
  <si>
    <t>Tổng phương sai đường găng Σσ²</t>
  </si>
  <si>
    <t>Độ lệch chuẩn đường găng σ</t>
  </si>
  <si>
    <t>Số ngày làm việc tới hạn chót</t>
  </si>
  <si>
    <t>Chênh lệch T − hạn chót (ngày; dương = trễ)</t>
  </si>
  <si>
    <t>Z = (hạn chót − T) / σ</t>
  </si>
  <si>
    <t>Xác suất hoàn thành đúng hạn P(Z)</t>
  </si>
  <si>
    <t>Ngày kết thúc dự kiến (T)</t>
  </si>
  <si>
    <t>BIỂU ĐỒ GANTT (tự vẽ từ sheet PERT)</t>
  </si>
  <si>
    <t>Đỏ = hoạt động găng · Xanh = không găng · Cột cam = ngày làm việc cuối cùng trước hạn chót. Mỗi cột = 1 ngày làm việc.</t>
  </si>
  <si>
    <t>PHƯƠNG ÁN NÉN LỊCH – fast-tracking + giảm phạm vi (AI đề xuất, nhóm xác nhận)</t>
  </si>
  <si>
    <t>Cột "Chồng lấn" = số ngày hoạt động được bắt đầu SỚM trước khi các hoạt động trước kết thúc (fast-tracking). ES = MAX(0; MAX(EF hoạt động trước) − Chồng lấn); LF = MIN(LS hoạt động sau + Chồng lấn của hoạt động sau). Sheet PERT giữ nguyên làm lịch gốc.</t>
  </si>
  <si>
    <t>Trước</t>
  </si>
  <si>
    <t>Chồng lấn</t>
  </si>
  <si>
    <t>TE</t>
  </si>
  <si>
    <t>Thay đổi so với lịch gốc</t>
  </si>
  <si>
    <t>Fast-tracking: thiết kế kiến trúc bắt đầu khi SRS đã duyệt phần lõi (FR01–FR08)</t>
  </si>
  <si>
    <t>Fast-tracking: thiết kế giao diện bắt đầu song song giai đoạn cuối SRS</t>
  </si>
  <si>
    <t>Giảm phạm vi: dời API khách hàng thân thiết, nhân viên/ca (FR09–FR10) sang giai đoạn 2</t>
  </si>
  <si>
    <t>Giảm phạm vi FR09–FR10 + fast-tracking: làm màn hình trên mockup và API giả lập khi khung giao diện xong khoảng 50%</t>
  </si>
  <si>
    <t>Fast-tracking: xuất báo cáo làm khi API doanh thu, tồn kho đã xong (không chờ toàn bộ API)</t>
  </si>
  <si>
    <t>Fast-tracking: kiểm thử theo từng module xong trước, chồng 5 ngày cuối giai đoạn phát triển</t>
  </si>
  <si>
    <t>KẾT QUẢ SAU KHI NÉN</t>
  </si>
  <si>
    <t>Thời gian dự án T mới (ngày làm việc)</t>
  </si>
  <si>
    <t>Đường găng mới</t>
  </si>
  <si>
    <t>Dự trữ so với hạn chót (ngày)</t>
  </si>
  <si>
    <t>Xác suất kịp hạn P(Z)</t>
  </si>
  <si>
    <t>Ngày kết thúc dự kiến</t>
  </si>
  <si>
    <t>T lịch gốc (sheet PERT) / số ngày rút ngắn</t>
  </si>
  <si>
    <t>SỔ ĐĂNG KÝ RỦI RO (RISK REGISTER) – sắp theo điểm giảm dần</t>
  </si>
  <si>
    <t>Mô tả theo cấu trúc Nguyên nhân – Sự kiện – Hậu quả. XS, TĐ thang 1–5; Điểm = XS × TĐ; ≥15 Cao, 8–14 Trung bình, &lt;8 Thấp.</t>
  </si>
  <si>
    <t>ID</t>
  </si>
  <si>
    <t>Nguyên nhân</t>
  </si>
  <si>
    <t>Sự kiện rủi ro</t>
  </si>
  <si>
    <t>Hậu quả</t>
  </si>
  <si>
    <t>Nhóm</t>
  </si>
  <si>
    <t>XS (1–5)</t>
  </si>
  <si>
    <t>TĐ (1–5)</t>
  </si>
  <si>
    <t>Điểm</t>
  </si>
  <si>
    <t>Mức</t>
  </si>
  <si>
    <t>Chiến lược</t>
  </si>
  <si>
    <t>Hành động ứng phó</t>
  </si>
  <si>
    <t>Người phụ trách</t>
  </si>
  <si>
    <t>Nguồn</t>
  </si>
  <si>
    <t>R01</t>
  </si>
  <si>
    <t>Phần mềm bán hàng hiện tại của nhà thuốc chưa rõ nhà cung cấp, có thể không có API hoặc không cho xuất dữ liệu tự động</t>
  </si>
  <si>
    <t>Không đồng bộ được dữ liệu bán hàng vào PharmaDash đúng hạn</t>
  </si>
  <si>
    <t>Dashboard không có số liệu thật, trễ go-live, mục tiêu "dữ liệu trễ ≤ 1 phút" không đạt</t>
  </si>
  <si>
    <t>Bên ngoài / Kỹ thuật</t>
  </si>
  <si>
    <t>Giảm</t>
  </si>
  <si>
    <t>Khảo sát phần mềm bán hàng ngay tuần 1; làm việc với nhà cung cấp phần mềm; chuẩn bị phương án dự phòng nhập file Excel xuất từ phần mềm bán hàng theo lịch (mỗi 15 phút / cuối ca)</t>
  </si>
  <si>
    <t>BE + BA</t>
  </si>
  <si>
    <t>AI gợi ý</t>
  </si>
  <si>
    <t>R02</t>
  </si>
  <si>
    <t>Ước lượng PERT cho thấy đường găng dài hơn số ngày làm việc tới hạn chót 31/12</t>
  </si>
  <si>
    <t>Dự án không kịp go-live trước hạn</t>
  </si>
  <si>
    <t>Không kịp dùng cho đợt kiểm kê cuối năm và cao điểm Tết, phát sinh chi phí kéo dài</t>
  </si>
  <si>
    <t>Lịch trình</t>
  </si>
  <si>
    <t>Nén lịch bằng fast-tracking (làm song song FE/BE, kiểm thử theo từng module) và/hoặc crashing (bổ sung nhân lực bán thời gian); cắt tính năng "Có thể có"</t>
  </si>
  <si>
    <t>R03</t>
  </si>
  <si>
    <t>Chủ nhà thuốc xem demo cuối mỗi tháng và thường phát sinh ý tưởng mới</t>
  </si>
  <si>
    <t>Yêu cầu thay đổi, phạm vi phình ra (scope creep)</t>
  </si>
  <si>
    <t>Tăng khối lượng công việc, trễ tiến độ, vượt ngân sách</t>
  </si>
  <si>
    <t>Khách hàng / Yêu cầu</t>
  </si>
  <si>
    <t>Tránh</t>
  </si>
  <si>
    <t>Thống nhất phạm vi trong Charter/SRS; quy trình kiểm soát thay đổi (Change Request) có đánh giá tác động thời gian – chi phí; đưa yêu cầu mới vào giai đoạn 2</t>
  </si>
  <si>
    <t>R04</t>
  </si>
  <si>
    <t>Dữ liệu cũ quản lý bằng Excel: mã thuốc trùng, thiếu số lô, thiếu hạn dùng, sai đơn vị tính</t>
  </si>
  <si>
    <t>Chuyển đổi dữ liệu sai hoặc thiếu</t>
  </si>
  <si>
    <t>Cảnh báo hạn dùng và tồn kho sai, người dùng mất niềm tin vào hệ thống</t>
  </si>
  <si>
    <t>Kỹ thuật / Dữ liệu</t>
  </si>
  <si>
    <t>Viết script kiểm tra chất lượng dữ liệu; làm sạch dữ liệu cùng dược sĩ phụ trách kho; đối soát tồn kho thực tế trước go-live</t>
  </si>
  <si>
    <t>R05</t>
  </si>
  <si>
    <t>Chỉ có 1 lập trình viên backend với khối lượng khoảng 460 giờ trên tổng khoảng 520 giờ khả dụng</t>
  </si>
  <si>
    <t>Lập trình viên backend quá tải, ốm hoặc nghỉ việc</t>
  </si>
  <si>
    <t>API trễ, kéo theo frontend và kiểm thử trễ (nằm trên đường gần găng)</t>
  </si>
  <si>
    <t>Con người</t>
  </si>
  <si>
    <t>Lập trình viên frontend hỗ trợ API đơn giản; code review chéo; tài liệu hóa API; theo dõi khối lượng hằng tuần</t>
  </si>
  <si>
    <t>R06</t>
  </si>
  <si>
    <t>Hệ thống chứa thông tin khách hàng (họ tên, SĐT, lịch sử mua thuốc) và giá nhập, lợi nhuận</t>
  </si>
  <si>
    <t>Lộ dữ liệu do phân quyền sai hoặc tấn công</t>
  </si>
  <si>
    <t>Vi phạm quy định bảo vệ dữ liệu cá nhân, mất uy tín, rò rỉ bí mật kinh doanh</t>
  </si>
  <si>
    <t>Bảo mật / Pháp lý</t>
  </si>
  <si>
    <t>Phân quyền kiểm tra ở máy chủ; HTTPS; mã hóa mật khẩu; kiểm thử phân quyền riêng; sao lưu có mã hóa</t>
  </si>
  <si>
    <t>BE + QA</t>
  </si>
  <si>
    <t>R07</t>
  </si>
  <si>
    <t>Nhân viên quen thao tác giấy và Excel, ít thời gian học phần mềm mới</t>
  </si>
  <si>
    <t>Người dùng không sử dụng hoặc dùng sai hệ thống</t>
  </si>
  <si>
    <t>Dữ liệu không được cập nhật, hệ thống không mang lại giá trị</t>
  </si>
  <si>
    <t>Con người / Khách hàng</t>
  </si>
  <si>
    <t>Giao diện đơn giản; đào tạo tại từng chi nhánh; chọn 1 người dùng chủ chốt (key user) mỗi chi nhánh</t>
  </si>
  <si>
    <t>R08</t>
  </si>
  <si>
    <t>Dữ liệu 2 năm bán hàng (hàng trăm nghìn dòng) và truy vấn thống kê phức tạp</t>
  </si>
  <si>
    <t>Dashboard phản hồi chậm hơn 2 giây</t>
  </si>
  <si>
    <t>Trải nghiệm kém, không đạt yêu cầu phi chức năng</t>
  </si>
  <si>
    <t>Kỹ thuật</t>
  </si>
  <si>
    <t>Tạo chỉ mục CSDL, bảng tổng hợp theo ngày; kiểm thử hiệu năng với dữ liệu thật từ sớm</t>
  </si>
  <si>
    <t>R09</t>
  </si>
  <si>
    <t>Quy định ngành dược (GPP, thuốc kê đơn) có thể yêu cầu lưu trữ hoặc báo cáo đặc thù chưa nêu trong yêu cầu</t>
  </si>
  <si>
    <t>Phát sinh yêu cầu bắt buộc muộn</t>
  </si>
  <si>
    <t>Phải làm thêm chức năng, trễ tiến độ</t>
  </si>
  <si>
    <t>Khách hàng / Pháp lý</t>
  </si>
  <si>
    <t>Hỏi rõ với chủ nhà thuốc và dược sĩ phụ trách chuyên môn ngay khi khảo sát; ghi nhận vào SRS</t>
  </si>
  <si>
    <t>R10</t>
  </si>
  <si>
    <t>Hệ thống chạy trên máy chủ thuê ngoài, mạng Internet tại chi nhánh không ổn định</t>
  </si>
  <si>
    <t>Máy chủ hoặc mạng gặp sự cố</t>
  </si>
  <si>
    <t>Không truy cập được dashboard trong giờ bán hàng</t>
  </si>
  <si>
    <t>Bên ngoài / Hạ tầng</t>
  </si>
  <si>
    <t>Chuyển giao</t>
  </si>
  <si>
    <t>Chọn nhà cung cấp VPS có cam kết SLA 99,9% trong hợp đồng; sao lưu hằng ngày; hướng dẫn phương án xử lý sự cố</t>
  </si>
  <si>
    <t>R11</t>
  </si>
  <si>
    <t>Nhóm bổ sung</t>
  </si>
  <si>
    <t>R12</t>
  </si>
  <si>
    <t>MA TRẬN XÁC SUẤT × TÁC ĐỘNG (5×5) – tự cập nhật từ sheet RuiRo</t>
  </si>
  <si>
    <t>TÁC ĐỘNG →</t>
  </si>
  <si>
    <t>XÁC SUẤT ↓</t>
  </si>
  <si>
    <t>Vùng đỏ: điểm ≥ 15 (Cao) · Cam: 8–14 (Trung bình) · Xanh: &lt; 8 (Thấp)</t>
  </si>
  <si>
    <t>Gói việc của người đó bị dừng; nếu là việc trên đường găng (BE, FE) thì cả dự án trễ theo</t>
  </si>
  <si>
    <t>Một thành viên phải nghỉ vài ngày đến 1 tuần, không báo trước được</t>
  </si>
  <si>
    <t>Thành viên có việc gia đình đột xuất (đồ án trước của nhóm từng bị trễ vì lý do này)</t>
  </si>
  <si>
    <t>Mỗi người có 1 "người đỡ" (buddy) nắm việc của mình; cập nhật tiến độ hằng ngày trên nhóm chat; đẩy code lên GitHub cuối mỗi ngày để người khác làm tiếp được</t>
  </si>
  <si>
    <t>Yêu cầu</t>
  </si>
  <si>
    <t>Phải làm lại (rework) chức năng đã xong, tốn thêm giờ công, ăn vào 2 ngày dự trữ của lịch đã nén</t>
  </si>
  <si>
    <t>Hiểu sai một yêu cầu của khách hàng (ví dụ cách tính lợi nhuận, quy tắc cảnh báo hạn dùng), phát hiện muộn khi demo hoặc UAT</t>
  </si>
  <si>
    <t>Nhóm đọc yêu cầu theo cách hiểu của mình, không xác nhận lại (đồ án trước nhóm từng hiểu sai yêu cầu của giảng viên và phải làm lại)</t>
  </si>
  <si>
    <t>Sau mỗi buổi làm việc với khách hàng, BA gửi lại biên bản tóm tắt yêu cầu để khách xác nhận; viết tiêu chí chấp nhận cho từng FR trước khi code; demo bản nháp sớm (mockup) thay vì chờ demo cuối 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</si>
</sst>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0.0%"/>
    <numFmt numFmtId="166" formatCode="dd/mm/yyyy"/>
    <numFmt numFmtId="167" formatCode="dd/mm"/>
    <numFmt numFmtId="168" formatCode="0.0"/>
    <numFmt numFmtId="169" formatCode=";;;"/>
  </numFmts>
  <fonts count="12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sz val="10"/>
      <name val="Arial"/>
    </font>
    <font>
      <b/>
      <sz val="10"/>
      <name val="Arial"/>
    </font>
    <font>
      <b/>
      <sz val="10"/>
      <color rgb="FF0000FF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8000"/>
      <name val="Arial"/>
    </font>
    <font>
      <sz val="7"/>
      <name val="Arial"/>
    </font>
    <font>
      <b/>
      <sz val="7"/>
      <color rgb="FFFFFFFF"/>
      <name val="Arial"/>
    </font>
    <font>
      <b/>
      <sz val="9"/>
      <color indexed="81"/>
      <name val="Tahoma"/>
      <charset val="1"/>
    </font>
    <font>
      <sz val="10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EEF3FA"/>
      </patternFill>
    </fill>
    <fill>
      <patternFill patternType="solid">
        <fgColor rgb="FFFFF2CC"/>
      </patternFill>
    </fill>
    <fill>
      <patternFill patternType="solid">
        <fgColor rgb="FFD8F0DD"/>
      </patternFill>
    </fill>
    <fill>
      <patternFill patternType="solid">
        <fgColor rgb="FFFCE4C4"/>
      </patternFill>
    </fill>
    <fill>
      <patternFill patternType="solid">
        <fgColor rgb="FFF8CBCB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hair">
        <color rgb="FFE0E0E0"/>
      </left>
      <right style="hair">
        <color rgb="FFE0E0E0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/>
    <xf numFmtId="0" fontId="3" fillId="2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/>
    <xf numFmtId="0" fontId="2" fillId="4" borderId="1" xfId="0" applyFont="1" applyFill="1" applyBorder="1"/>
    <xf numFmtId="0" fontId="3" fillId="5" borderId="1" xfId="0" applyFont="1" applyFill="1" applyBorder="1"/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/>
    <xf numFmtId="0" fontId="2" fillId="5" borderId="1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3" fontId="6" fillId="0" borderId="1" xfId="0" applyNumberFormat="1" applyFont="1" applyBorder="1"/>
    <xf numFmtId="0" fontId="3" fillId="0" borderId="1" xfId="0" applyFont="1" applyBorder="1"/>
    <xf numFmtId="3" fontId="3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/>
    <xf numFmtId="164" fontId="6" fillId="0" borderId="1" xfId="0" applyNumberFormat="1" applyFont="1" applyBorder="1"/>
    <xf numFmtId="3" fontId="7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/>
    <xf numFmtId="9" fontId="6" fillId="0" borderId="1" xfId="0" applyNumberFormat="1" applyFont="1" applyBorder="1"/>
    <xf numFmtId="165" fontId="3" fillId="0" borderId="1" xfId="0" applyNumberFormat="1" applyFont="1" applyBorder="1"/>
    <xf numFmtId="166" fontId="6" fillId="0" borderId="1" xfId="0" applyNumberFormat="1" applyFont="1" applyBorder="1"/>
    <xf numFmtId="1" fontId="6" fillId="0" borderId="1" xfId="0" applyNumberFormat="1" applyFont="1" applyBorder="1"/>
    <xf numFmtId="2" fontId="2" fillId="0" borderId="1" xfId="0" applyNumberFormat="1" applyFont="1" applyBorder="1"/>
    <xf numFmtId="166" fontId="2" fillId="0" borderId="1" xfId="0" applyNumberFormat="1" applyFont="1" applyBorder="1"/>
    <xf numFmtId="2" fontId="6" fillId="2" borderId="1" xfId="0" applyNumberFormat="1" applyFont="1" applyFill="1" applyBorder="1"/>
    <xf numFmtId="2" fontId="3" fillId="0" borderId="1" xfId="0" applyNumberFormat="1" applyFont="1" applyBorder="1"/>
    <xf numFmtId="10" fontId="3" fillId="0" borderId="1" xfId="0" applyNumberFormat="1" applyFont="1" applyBorder="1"/>
    <xf numFmtId="166" fontId="3" fillId="0" borderId="1" xfId="0" applyNumberFormat="1" applyFont="1" applyBorder="1"/>
    <xf numFmtId="167" fontId="8" fillId="0" borderId="0" xfId="0" applyNumberFormat="1" applyFont="1" applyAlignment="1">
      <alignment horizontal="center" textRotation="90"/>
    </xf>
    <xf numFmtId="0" fontId="9" fillId="3" borderId="1" xfId="0" applyFont="1" applyFill="1" applyBorder="1" applyAlignment="1">
      <alignment horizontal="center" vertical="center" wrapText="1"/>
    </xf>
    <xf numFmtId="168" fontId="2" fillId="0" borderId="1" xfId="0" applyNumberFormat="1" applyFont="1" applyBorder="1"/>
    <xf numFmtId="169" fontId="0" fillId="0" borderId="4" xfId="0" applyNumberFormat="1" applyBorder="1"/>
    <xf numFmtId="1" fontId="7" fillId="0" borderId="1" xfId="0" applyNumberFormat="1" applyFont="1" applyBorder="1"/>
    <xf numFmtId="168" fontId="6" fillId="0" borderId="1" xfId="0" applyNumberFormat="1" applyFont="1" applyBorder="1"/>
    <xf numFmtId="168" fontId="6" fillId="6" borderId="1" xfId="0" applyNumberFormat="1" applyFont="1" applyFill="1" applyBorder="1"/>
    <xf numFmtId="1" fontId="6" fillId="6" borderId="1" xfId="0" applyNumberFormat="1" applyFont="1" applyFill="1" applyBorder="1"/>
    <xf numFmtId="0" fontId="3" fillId="0" borderId="1" xfId="0" applyFont="1" applyBorder="1" applyAlignment="1">
      <alignment vertical="top" wrapText="1"/>
    </xf>
    <xf numFmtId="1" fontId="6" fillId="0" borderId="1" xfId="0" applyNumberFormat="1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2" fillId="0" borderId="0" xfId="0" applyFont="1" applyAlignment="1">
      <alignment vertical="top" wrapText="1"/>
    </xf>
    <xf numFmtId="0" fontId="0" fillId="0" borderId="0" xfId="0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D8F0DD"/>
          <bgColor rgb="FFD8F0DD"/>
        </patternFill>
      </fill>
    </dxf>
    <dxf>
      <fill>
        <patternFill patternType="solid">
          <fgColor rgb="FFFCE4C4"/>
          <bgColor rgb="FFFCE4C4"/>
        </patternFill>
      </fill>
    </dxf>
    <dxf>
      <fill>
        <patternFill patternType="solid">
          <fgColor rgb="FFF8CBCB"/>
          <bgColor rgb="FFF8CBCB"/>
        </patternFill>
      </fill>
    </dxf>
    <dxf>
      <fill>
        <patternFill patternType="solid">
          <fgColor rgb="FFFCE4E4"/>
          <bgColor rgb="FFFCE4E4"/>
        </patternFill>
      </fill>
    </dxf>
    <dxf>
      <fill>
        <patternFill patternType="solid">
          <fgColor rgb="FFFDE7C2"/>
          <bgColor rgb="FFFDE7C2"/>
        </patternFill>
      </fill>
    </dxf>
    <dxf>
      <fill>
        <patternFill patternType="solid">
          <fgColor rgb="FF5B8DEF"/>
          <bgColor rgb="FF5B8DEF"/>
        </patternFill>
      </fill>
    </dxf>
    <dxf>
      <fill>
        <patternFill patternType="solid">
          <fgColor rgb="FFE03C3C"/>
          <bgColor rgb="FFE03C3C"/>
        </patternFill>
      </fill>
    </dxf>
    <dxf>
      <fill>
        <patternFill patternType="solid">
          <fgColor rgb="FFF5A623"/>
          <bgColor rgb="FFF5A623"/>
        </patternFill>
      </fill>
    </dxf>
    <dxf>
      <fill>
        <patternFill patternType="solid">
          <fgColor rgb="FFFCE4E4"/>
          <bgColor rgb="FFFCE4E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1"/>
  <sheetViews>
    <sheetView showGridLines="0" workbookViewId="0"/>
  </sheetViews>
  <sheetFormatPr defaultRowHeight="14.4" x14ac:dyDescent="0.3"/>
  <cols>
    <col min="1" max="1" width="4" customWidth="1"/>
    <col min="2" max="2" width="26" customWidth="1"/>
    <col min="3" max="3" width="90" customWidth="1"/>
  </cols>
  <sheetData>
    <row r="2" spans="2:3" ht="17.399999999999999" x14ac:dyDescent="0.3">
      <c r="B2" s="1" t="s">
        <v>0</v>
      </c>
    </row>
    <row r="3" spans="2:3" x14ac:dyDescent="0.3">
      <c r="B3" s="2" t="s">
        <v>1</v>
      </c>
    </row>
    <row r="5" spans="2:3" x14ac:dyDescent="0.3">
      <c r="B5" s="3" t="s">
        <v>2</v>
      </c>
      <c r="C5" s="4"/>
    </row>
    <row r="6" spans="2:3" x14ac:dyDescent="0.3">
      <c r="B6" s="5" t="s">
        <v>3</v>
      </c>
      <c r="C6" s="4" t="s">
        <v>4</v>
      </c>
    </row>
    <row r="7" spans="2:3" x14ac:dyDescent="0.3">
      <c r="B7" s="3" t="s">
        <v>5</v>
      </c>
      <c r="C7" s="4" t="s">
        <v>6</v>
      </c>
    </row>
    <row r="8" spans="2:3" x14ac:dyDescent="0.3">
      <c r="B8" s="6" t="s">
        <v>7</v>
      </c>
      <c r="C8" s="4" t="s">
        <v>8</v>
      </c>
    </row>
    <row r="9" spans="2:3" x14ac:dyDescent="0.3">
      <c r="B9" s="3"/>
      <c r="C9" s="4"/>
    </row>
    <row r="10" spans="2:3" x14ac:dyDescent="0.3">
      <c r="B10" s="3" t="s">
        <v>9</v>
      </c>
      <c r="C10" s="4"/>
    </row>
    <row r="11" spans="2:3" x14ac:dyDescent="0.3">
      <c r="B11" s="3" t="s">
        <v>10</v>
      </c>
      <c r="C11" s="4" t="s">
        <v>11</v>
      </c>
    </row>
    <row r="12" spans="2:3" x14ac:dyDescent="0.3">
      <c r="B12" s="3" t="s">
        <v>12</v>
      </c>
      <c r="C12" s="4" t="s">
        <v>13</v>
      </c>
    </row>
    <row r="13" spans="2:3" ht="26.4" x14ac:dyDescent="0.3">
      <c r="B13" s="3" t="s">
        <v>14</v>
      </c>
      <c r="C13" s="4" t="s">
        <v>15</v>
      </c>
    </row>
    <row r="14" spans="2:3" x14ac:dyDescent="0.3">
      <c r="B14" s="3" t="s">
        <v>16</v>
      </c>
      <c r="C14" s="4" t="s">
        <v>17</v>
      </c>
    </row>
    <row r="15" spans="2:3" x14ac:dyDescent="0.3">
      <c r="B15" s="3" t="s">
        <v>18</v>
      </c>
      <c r="C15" s="4" t="s">
        <v>19</v>
      </c>
    </row>
    <row r="16" spans="2:3" x14ac:dyDescent="0.3">
      <c r="B16" s="3" t="s">
        <v>20</v>
      </c>
      <c r="C16" s="4" t="s">
        <v>21</v>
      </c>
    </row>
    <row r="17" spans="2:3" x14ac:dyDescent="0.3">
      <c r="B17" s="3" t="s">
        <v>22</v>
      </c>
      <c r="C17" s="4" t="s">
        <v>23</v>
      </c>
    </row>
    <row r="18" spans="2:3" x14ac:dyDescent="0.3">
      <c r="B18" s="3"/>
      <c r="C18" s="4"/>
    </row>
    <row r="19" spans="2:3" ht="26.4" x14ac:dyDescent="0.3">
      <c r="B19" s="3" t="s">
        <v>24</v>
      </c>
      <c r="C19" s="4" t="s">
        <v>25</v>
      </c>
    </row>
    <row r="20" spans="2:3" ht="26.4" x14ac:dyDescent="0.3">
      <c r="B20" s="3"/>
      <c r="C20" s="4" t="s">
        <v>26</v>
      </c>
    </row>
    <row r="21" spans="2:3" ht="26.4" x14ac:dyDescent="0.3">
      <c r="B21" s="3"/>
      <c r="C21" s="4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2"/>
  <sheetViews>
    <sheetView showGridLines="0" workbookViewId="0">
      <pane ySplit="4" topLeftCell="A36" activePane="bottomLeft" state="frozen"/>
      <selection pane="bottomLeft"/>
    </sheetView>
  </sheetViews>
  <sheetFormatPr defaultRowHeight="14.4" x14ac:dyDescent="0.3"/>
  <cols>
    <col min="1" max="1" width="9" customWidth="1"/>
    <col min="2" max="2" width="6" customWidth="1"/>
    <col min="3" max="3" width="46" customWidth="1"/>
    <col min="4" max="4" width="44" customWidth="1"/>
    <col min="5" max="5" width="11" customWidth="1"/>
    <col min="6" max="6" width="10" customWidth="1"/>
    <col min="7" max="7" width="14" customWidth="1"/>
  </cols>
  <sheetData>
    <row r="1" spans="1:7" ht="17.399999999999999" x14ac:dyDescent="0.3">
      <c r="A1" s="1" t="s">
        <v>28</v>
      </c>
    </row>
    <row r="2" spans="1:7" x14ac:dyDescent="0.3">
      <c r="A2" s="2" t="s">
        <v>29</v>
      </c>
    </row>
    <row r="4" spans="1:7" ht="26.4" x14ac:dyDescent="0.3">
      <c r="A4" s="7" t="s">
        <v>30</v>
      </c>
      <c r="B4" s="7" t="s">
        <v>31</v>
      </c>
      <c r="C4" s="7" t="s">
        <v>32</v>
      </c>
      <c r="D4" s="7" t="s">
        <v>33</v>
      </c>
      <c r="E4" s="7" t="s">
        <v>34</v>
      </c>
      <c r="F4" s="7" t="s">
        <v>35</v>
      </c>
      <c r="G4" s="7" t="s">
        <v>36</v>
      </c>
    </row>
    <row r="5" spans="1:7" x14ac:dyDescent="0.3">
      <c r="A5" s="8" t="s">
        <v>37</v>
      </c>
      <c r="B5" s="9">
        <v>1</v>
      </c>
      <c r="C5" s="10" t="s">
        <v>38</v>
      </c>
      <c r="D5" s="11" t="s">
        <v>39</v>
      </c>
      <c r="E5" s="12" t="s">
        <v>40</v>
      </c>
      <c r="F5" s="13">
        <f>SUMIFS($F$5:$F$78,$A$5:$A$78,"1.*",$B$5:$B$78,3)</f>
        <v>156</v>
      </c>
      <c r="G5" s="14"/>
    </row>
    <row r="6" spans="1:7" x14ac:dyDescent="0.3">
      <c r="A6" s="15" t="s">
        <v>41</v>
      </c>
      <c r="B6" s="16">
        <v>2</v>
      </c>
      <c r="C6" s="17" t="s">
        <v>42</v>
      </c>
      <c r="D6" s="18" t="s">
        <v>43</v>
      </c>
      <c r="E6" s="19" t="s">
        <v>40</v>
      </c>
      <c r="F6" s="20">
        <f>SUMIFS($F$5:$F$78,$A$5:$A$78,"1.1.*",$B$5:$B$78,3)</f>
        <v>24</v>
      </c>
      <c r="G6" s="21"/>
    </row>
    <row r="7" spans="1:7" x14ac:dyDescent="0.3">
      <c r="A7" s="22" t="s">
        <v>44</v>
      </c>
      <c r="B7" s="23">
        <v>3</v>
      </c>
      <c r="C7" s="24" t="s">
        <v>45</v>
      </c>
      <c r="D7" s="24" t="s">
        <v>46</v>
      </c>
      <c r="E7" s="23" t="s">
        <v>40</v>
      </c>
      <c r="F7" s="25">
        <v>16</v>
      </c>
      <c r="G7" s="23" t="str">
        <f>IF(AND(F7&gt;=8,F7&lt;=80),"Đạt","Vi phạm 8/80")</f>
        <v>Đạt</v>
      </c>
    </row>
    <row r="8" spans="1:7" x14ac:dyDescent="0.3">
      <c r="A8" s="22" t="s">
        <v>47</v>
      </c>
      <c r="B8" s="23">
        <v>3</v>
      </c>
      <c r="C8" s="24" t="s">
        <v>48</v>
      </c>
      <c r="D8" s="24" t="s">
        <v>49</v>
      </c>
      <c r="E8" s="23" t="s">
        <v>40</v>
      </c>
      <c r="F8" s="25">
        <v>8</v>
      </c>
      <c r="G8" s="23" t="str">
        <f>IF(AND(F8&gt;=8,F8&lt;=80),"Đạt","Vi phạm 8/80")</f>
        <v>Đạt</v>
      </c>
    </row>
    <row r="9" spans="1:7" x14ac:dyDescent="0.3">
      <c r="A9" s="15" t="s">
        <v>50</v>
      </c>
      <c r="B9" s="16">
        <v>2</v>
      </c>
      <c r="C9" s="17" t="s">
        <v>51</v>
      </c>
      <c r="D9" s="18" t="s">
        <v>52</v>
      </c>
      <c r="E9" s="19" t="s">
        <v>40</v>
      </c>
      <c r="F9" s="20">
        <f>SUMIFS($F$5:$F$78,$A$5:$A$78,"1.2.*",$B$5:$B$78,3)</f>
        <v>44</v>
      </c>
      <c r="G9" s="21"/>
    </row>
    <row r="10" spans="1:7" x14ac:dyDescent="0.3">
      <c r="A10" s="22" t="s">
        <v>53</v>
      </c>
      <c r="B10" s="23">
        <v>3</v>
      </c>
      <c r="C10" s="24" t="s">
        <v>54</v>
      </c>
      <c r="D10" s="24" t="s">
        <v>55</v>
      </c>
      <c r="E10" s="23" t="s">
        <v>40</v>
      </c>
      <c r="F10" s="25">
        <v>16</v>
      </c>
      <c r="G10" s="23" t="str">
        <f>IF(AND(F10&gt;=8,F10&lt;=80),"Đạt","Vi phạm 8/80")</f>
        <v>Đạt</v>
      </c>
    </row>
    <row r="11" spans="1:7" x14ac:dyDescent="0.3">
      <c r="A11" s="22" t="s">
        <v>56</v>
      </c>
      <c r="B11" s="23">
        <v>3</v>
      </c>
      <c r="C11" s="24" t="s">
        <v>57</v>
      </c>
      <c r="D11" s="24" t="s">
        <v>58</v>
      </c>
      <c r="E11" s="23" t="s">
        <v>40</v>
      </c>
      <c r="F11" s="25">
        <v>16</v>
      </c>
      <c r="G11" s="23" t="str">
        <f>IF(AND(F11&gt;=8,F11&lt;=80),"Đạt","Vi phạm 8/80")</f>
        <v>Đạt</v>
      </c>
    </row>
    <row r="12" spans="1:7" x14ac:dyDescent="0.3">
      <c r="A12" s="22" t="s">
        <v>59</v>
      </c>
      <c r="B12" s="23">
        <v>3</v>
      </c>
      <c r="C12" s="24" t="s">
        <v>60</v>
      </c>
      <c r="D12" s="24" t="s">
        <v>61</v>
      </c>
      <c r="E12" s="23" t="s">
        <v>40</v>
      </c>
      <c r="F12" s="25">
        <v>12</v>
      </c>
      <c r="G12" s="23" t="str">
        <f>IF(AND(F12&gt;=8,F12&lt;=80),"Đạt","Vi phạm 8/80")</f>
        <v>Đạt</v>
      </c>
    </row>
    <row r="13" spans="1:7" x14ac:dyDescent="0.3">
      <c r="A13" s="15" t="s">
        <v>62</v>
      </c>
      <c r="B13" s="16">
        <v>2</v>
      </c>
      <c r="C13" s="17" t="s">
        <v>63</v>
      </c>
      <c r="D13" s="18" t="s">
        <v>64</v>
      </c>
      <c r="E13" s="19" t="s">
        <v>40</v>
      </c>
      <c r="F13" s="20">
        <f>SUMIFS($F$5:$F$78,$A$5:$A$78,"1.3.*",$B$5:$B$78,3)</f>
        <v>76</v>
      </c>
      <c r="G13" s="21"/>
    </row>
    <row r="14" spans="1:7" x14ac:dyDescent="0.3">
      <c r="A14" s="22" t="s">
        <v>65</v>
      </c>
      <c r="B14" s="23">
        <v>3</v>
      </c>
      <c r="C14" s="24" t="s">
        <v>66</v>
      </c>
      <c r="D14" s="24" t="s">
        <v>67</v>
      </c>
      <c r="E14" s="23" t="s">
        <v>40</v>
      </c>
      <c r="F14" s="25">
        <v>52</v>
      </c>
      <c r="G14" s="23" t="str">
        <f>IF(AND(F14&gt;=8,F14&lt;=80),"Đạt","Vi phạm 8/80")</f>
        <v>Đạt</v>
      </c>
    </row>
    <row r="15" spans="1:7" x14ac:dyDescent="0.3">
      <c r="A15" s="22" t="s">
        <v>68</v>
      </c>
      <c r="B15" s="23">
        <v>3</v>
      </c>
      <c r="C15" s="24" t="s">
        <v>69</v>
      </c>
      <c r="D15" s="24" t="s">
        <v>70</v>
      </c>
      <c r="E15" s="23" t="s">
        <v>40</v>
      </c>
      <c r="F15" s="25">
        <v>24</v>
      </c>
      <c r="G15" s="23" t="str">
        <f>IF(AND(F15&gt;=8,F15&lt;=80),"Đạt","Vi phạm 8/80")</f>
        <v>Đạt</v>
      </c>
    </row>
    <row r="16" spans="1:7" x14ac:dyDescent="0.3">
      <c r="A16" s="15" t="s">
        <v>71</v>
      </c>
      <c r="B16" s="16">
        <v>2</v>
      </c>
      <c r="C16" s="17" t="s">
        <v>72</v>
      </c>
      <c r="D16" s="18" t="s">
        <v>73</v>
      </c>
      <c r="E16" s="19" t="s">
        <v>40</v>
      </c>
      <c r="F16" s="20">
        <f>SUMIFS($F$5:$F$78,$A$5:$A$78,"1.4.*",$B$5:$B$78,3)</f>
        <v>12</v>
      </c>
      <c r="G16" s="21"/>
    </row>
    <row r="17" spans="1:7" x14ac:dyDescent="0.3">
      <c r="A17" s="22" t="s">
        <v>74</v>
      </c>
      <c r="B17" s="23">
        <v>3</v>
      </c>
      <c r="C17" s="24" t="s">
        <v>75</v>
      </c>
      <c r="D17" s="24" t="s">
        <v>76</v>
      </c>
      <c r="E17" s="23" t="s">
        <v>40</v>
      </c>
      <c r="F17" s="25">
        <v>12</v>
      </c>
      <c r="G17" s="23" t="str">
        <f>IF(AND(F17&gt;=8,F17&lt;=80),"Đạt","Vi phạm 8/80")</f>
        <v>Đạt</v>
      </c>
    </row>
    <row r="18" spans="1:7" x14ac:dyDescent="0.3">
      <c r="A18" s="8" t="s">
        <v>77</v>
      </c>
      <c r="B18" s="9">
        <v>1</v>
      </c>
      <c r="C18" s="10" t="s">
        <v>78</v>
      </c>
      <c r="D18" s="11" t="s">
        <v>79</v>
      </c>
      <c r="E18" s="12" t="s">
        <v>80</v>
      </c>
      <c r="F18" s="13">
        <f>SUMIFS($F$5:$F$78,$A$5:$A$78,"2.*",$B$5:$B$78,3)</f>
        <v>104</v>
      </c>
      <c r="G18" s="14"/>
    </row>
    <row r="19" spans="1:7" x14ac:dyDescent="0.3">
      <c r="A19" s="15" t="s">
        <v>81</v>
      </c>
      <c r="B19" s="16">
        <v>2</v>
      </c>
      <c r="C19" s="17" t="s">
        <v>82</v>
      </c>
      <c r="D19" s="18" t="s">
        <v>83</v>
      </c>
      <c r="E19" s="19" t="s">
        <v>80</v>
      </c>
      <c r="F19" s="20">
        <f>SUMIFS($F$5:$F$78,$A$5:$A$78,"2.1.*",$B$5:$B$78,3)</f>
        <v>40</v>
      </c>
      <c r="G19" s="21"/>
    </row>
    <row r="20" spans="1:7" x14ac:dyDescent="0.3">
      <c r="A20" s="22" t="s">
        <v>84</v>
      </c>
      <c r="B20" s="23">
        <v>3</v>
      </c>
      <c r="C20" s="24" t="s">
        <v>85</v>
      </c>
      <c r="D20" s="24" t="s">
        <v>86</v>
      </c>
      <c r="E20" s="23" t="s">
        <v>80</v>
      </c>
      <c r="F20" s="25">
        <v>24</v>
      </c>
      <c r="G20" s="23" t="str">
        <f>IF(AND(F20&gt;=8,F20&lt;=80),"Đạt","Vi phạm 8/80")</f>
        <v>Đạt</v>
      </c>
    </row>
    <row r="21" spans="1:7" ht="26.4" x14ac:dyDescent="0.3">
      <c r="A21" s="22" t="s">
        <v>87</v>
      </c>
      <c r="B21" s="23">
        <v>3</v>
      </c>
      <c r="C21" s="24" t="s">
        <v>88</v>
      </c>
      <c r="D21" s="24" t="s">
        <v>89</v>
      </c>
      <c r="E21" s="23" t="s">
        <v>80</v>
      </c>
      <c r="F21" s="25">
        <v>16</v>
      </c>
      <c r="G21" s="23" t="str">
        <f>IF(AND(F21&gt;=8,F21&lt;=80),"Đạt","Vi phạm 8/80")</f>
        <v>Đạt</v>
      </c>
    </row>
    <row r="22" spans="1:7" x14ac:dyDescent="0.3">
      <c r="A22" s="15" t="s">
        <v>90</v>
      </c>
      <c r="B22" s="16">
        <v>2</v>
      </c>
      <c r="C22" s="17" t="s">
        <v>91</v>
      </c>
      <c r="D22" s="18" t="s">
        <v>92</v>
      </c>
      <c r="E22" s="19" t="s">
        <v>80</v>
      </c>
      <c r="F22" s="20">
        <f>SUMIFS($F$5:$F$78,$A$5:$A$78,"2.2.*",$B$5:$B$78,3)</f>
        <v>64</v>
      </c>
      <c r="G22" s="21"/>
    </row>
    <row r="23" spans="1:7" x14ac:dyDescent="0.3">
      <c r="A23" s="22" t="s">
        <v>93</v>
      </c>
      <c r="B23" s="23">
        <v>3</v>
      </c>
      <c r="C23" s="24" t="s">
        <v>94</v>
      </c>
      <c r="D23" s="24" t="s">
        <v>95</v>
      </c>
      <c r="E23" s="23" t="s">
        <v>80</v>
      </c>
      <c r="F23" s="25">
        <v>32</v>
      </c>
      <c r="G23" s="23" t="str">
        <f>IF(AND(F23&gt;=8,F23&lt;=80),"Đạt","Vi phạm 8/80")</f>
        <v>Đạt</v>
      </c>
    </row>
    <row r="24" spans="1:7" ht="26.4" x14ac:dyDescent="0.3">
      <c r="A24" s="22" t="s">
        <v>96</v>
      </c>
      <c r="B24" s="23">
        <v>3</v>
      </c>
      <c r="C24" s="24" t="s">
        <v>97</v>
      </c>
      <c r="D24" s="24" t="s">
        <v>98</v>
      </c>
      <c r="E24" s="23" t="s">
        <v>80</v>
      </c>
      <c r="F24" s="25">
        <v>24</v>
      </c>
      <c r="G24" s="23" t="str">
        <f>IF(AND(F24&gt;=8,F24&lt;=80),"Đạt","Vi phạm 8/80")</f>
        <v>Đạt</v>
      </c>
    </row>
    <row r="25" spans="1:7" x14ac:dyDescent="0.3">
      <c r="A25" s="22" t="s">
        <v>99</v>
      </c>
      <c r="B25" s="23">
        <v>3</v>
      </c>
      <c r="C25" s="24" t="s">
        <v>100</v>
      </c>
      <c r="D25" s="24" t="s">
        <v>101</v>
      </c>
      <c r="E25" s="23" t="s">
        <v>80</v>
      </c>
      <c r="F25" s="25">
        <v>8</v>
      </c>
      <c r="G25" s="23" t="str">
        <f>IF(AND(F25&gt;=8,F25&lt;=80),"Đạt","Vi phạm 8/80")</f>
        <v>Đạt</v>
      </c>
    </row>
    <row r="26" spans="1:7" x14ac:dyDescent="0.3">
      <c r="A26" s="8" t="s">
        <v>102</v>
      </c>
      <c r="B26" s="9">
        <v>1</v>
      </c>
      <c r="C26" s="10" t="s">
        <v>103</v>
      </c>
      <c r="D26" s="11" t="s">
        <v>104</v>
      </c>
      <c r="E26" s="12" t="s">
        <v>105</v>
      </c>
      <c r="F26" s="13">
        <f>SUMIFS($F$5:$F$78,$A$5:$A$78,"3.*",$B$5:$B$78,3)</f>
        <v>128</v>
      </c>
      <c r="G26" s="14"/>
    </row>
    <row r="27" spans="1:7" x14ac:dyDescent="0.3">
      <c r="A27" s="15" t="s">
        <v>106</v>
      </c>
      <c r="B27" s="16">
        <v>2</v>
      </c>
      <c r="C27" s="17" t="s">
        <v>107</v>
      </c>
      <c r="D27" s="18" t="s">
        <v>108</v>
      </c>
      <c r="E27" s="19" t="s">
        <v>105</v>
      </c>
      <c r="F27" s="20">
        <f>SUMIFS($F$5:$F$78,$A$5:$A$78,"3.1.*",$B$5:$B$78,3)</f>
        <v>56</v>
      </c>
      <c r="G27" s="21"/>
    </row>
    <row r="28" spans="1:7" x14ac:dyDescent="0.3">
      <c r="A28" s="22" t="s">
        <v>109</v>
      </c>
      <c r="B28" s="23">
        <v>3</v>
      </c>
      <c r="C28" s="24" t="s">
        <v>110</v>
      </c>
      <c r="D28" s="24" t="s">
        <v>111</v>
      </c>
      <c r="E28" s="23" t="s">
        <v>105</v>
      </c>
      <c r="F28" s="25">
        <v>16</v>
      </c>
      <c r="G28" s="23" t="str">
        <f>IF(AND(F28&gt;=8,F28&lt;=80),"Đạt","Vi phạm 8/80")</f>
        <v>Đạt</v>
      </c>
    </row>
    <row r="29" spans="1:7" x14ac:dyDescent="0.3">
      <c r="A29" s="22" t="s">
        <v>112</v>
      </c>
      <c r="B29" s="23">
        <v>3</v>
      </c>
      <c r="C29" s="24" t="s">
        <v>113</v>
      </c>
      <c r="D29" s="24" t="s">
        <v>114</v>
      </c>
      <c r="E29" s="23" t="s">
        <v>105</v>
      </c>
      <c r="F29" s="25">
        <v>24</v>
      </c>
      <c r="G29" s="23" t="str">
        <f>IF(AND(F29&gt;=8,F29&lt;=80),"Đạt","Vi phạm 8/80")</f>
        <v>Đạt</v>
      </c>
    </row>
    <row r="30" spans="1:7" x14ac:dyDescent="0.3">
      <c r="A30" s="22" t="s">
        <v>115</v>
      </c>
      <c r="B30" s="23">
        <v>3</v>
      </c>
      <c r="C30" s="24" t="s">
        <v>116</v>
      </c>
      <c r="D30" s="24" t="s">
        <v>117</v>
      </c>
      <c r="E30" s="23" t="s">
        <v>105</v>
      </c>
      <c r="F30" s="25">
        <v>16</v>
      </c>
      <c r="G30" s="23" t="str">
        <f>IF(AND(F30&gt;=8,F30&lt;=80),"Đạt","Vi phạm 8/80")</f>
        <v>Đạt</v>
      </c>
    </row>
    <row r="31" spans="1:7" x14ac:dyDescent="0.3">
      <c r="A31" s="15" t="s">
        <v>118</v>
      </c>
      <c r="B31" s="16">
        <v>2</v>
      </c>
      <c r="C31" s="17" t="s">
        <v>119</v>
      </c>
      <c r="D31" s="18" t="s">
        <v>120</v>
      </c>
      <c r="E31" s="19" t="s">
        <v>121</v>
      </c>
      <c r="F31" s="20">
        <f>SUMIFS($F$5:$F$78,$A$5:$A$78,"3.2.*",$B$5:$B$78,3)</f>
        <v>72</v>
      </c>
      <c r="G31" s="21"/>
    </row>
    <row r="32" spans="1:7" x14ac:dyDescent="0.3">
      <c r="A32" s="22" t="s">
        <v>122</v>
      </c>
      <c r="B32" s="23">
        <v>3</v>
      </c>
      <c r="C32" s="24" t="s">
        <v>123</v>
      </c>
      <c r="D32" s="24" t="s">
        <v>124</v>
      </c>
      <c r="E32" s="23" t="s">
        <v>121</v>
      </c>
      <c r="F32" s="25">
        <v>32</v>
      </c>
      <c r="G32" s="23" t="str">
        <f>IF(AND(F32&gt;=8,F32&lt;=80),"Đạt","Vi phạm 8/80")</f>
        <v>Đạt</v>
      </c>
    </row>
    <row r="33" spans="1:7" x14ac:dyDescent="0.3">
      <c r="A33" s="22" t="s">
        <v>125</v>
      </c>
      <c r="B33" s="23">
        <v>3</v>
      </c>
      <c r="C33" s="24" t="s">
        <v>126</v>
      </c>
      <c r="D33" s="24" t="s">
        <v>127</v>
      </c>
      <c r="E33" s="23" t="s">
        <v>121</v>
      </c>
      <c r="F33" s="25">
        <v>40</v>
      </c>
      <c r="G33" s="23" t="str">
        <f>IF(AND(F33&gt;=8,F33&lt;=80),"Đạt","Vi phạm 8/80")</f>
        <v>Đạt</v>
      </c>
    </row>
    <row r="34" spans="1:7" x14ac:dyDescent="0.3">
      <c r="A34" s="8" t="s">
        <v>128</v>
      </c>
      <c r="B34" s="9">
        <v>1</v>
      </c>
      <c r="C34" s="10" t="s">
        <v>129</v>
      </c>
      <c r="D34" s="11" t="s">
        <v>130</v>
      </c>
      <c r="E34" s="12" t="s">
        <v>105</v>
      </c>
      <c r="F34" s="13">
        <f>SUMIFS($F$5:$F$78,$A$5:$A$78,"4.*",$B$5:$B$78,3)</f>
        <v>340</v>
      </c>
      <c r="G34" s="14"/>
    </row>
    <row r="35" spans="1:7" x14ac:dyDescent="0.3">
      <c r="A35" s="15" t="s">
        <v>131</v>
      </c>
      <c r="B35" s="16">
        <v>2</v>
      </c>
      <c r="C35" s="17" t="s">
        <v>132</v>
      </c>
      <c r="D35" s="18" t="s">
        <v>133</v>
      </c>
      <c r="E35" s="19" t="s">
        <v>105</v>
      </c>
      <c r="F35" s="20">
        <f>SUMIFS($F$5:$F$78,$A$5:$A$78,"4.1.*",$B$5:$B$78,3)</f>
        <v>40</v>
      </c>
      <c r="G35" s="21"/>
    </row>
    <row r="36" spans="1:7" x14ac:dyDescent="0.3">
      <c r="A36" s="22" t="s">
        <v>134</v>
      </c>
      <c r="B36" s="23">
        <v>3</v>
      </c>
      <c r="C36" s="24" t="s">
        <v>135</v>
      </c>
      <c r="D36" s="24" t="s">
        <v>136</v>
      </c>
      <c r="E36" s="23" t="s">
        <v>105</v>
      </c>
      <c r="F36" s="25">
        <v>16</v>
      </c>
      <c r="G36" s="23" t="str">
        <f>IF(AND(F36&gt;=8,F36&lt;=80),"Đạt","Vi phạm 8/80")</f>
        <v>Đạt</v>
      </c>
    </row>
    <row r="37" spans="1:7" x14ac:dyDescent="0.3">
      <c r="A37" s="22" t="s">
        <v>137</v>
      </c>
      <c r="B37" s="23">
        <v>3</v>
      </c>
      <c r="C37" s="24" t="s">
        <v>138</v>
      </c>
      <c r="D37" s="24" t="s">
        <v>139</v>
      </c>
      <c r="E37" s="23" t="s">
        <v>105</v>
      </c>
      <c r="F37" s="25">
        <v>24</v>
      </c>
      <c r="G37" s="23" t="str">
        <f>IF(AND(F37&gt;=8,F37&lt;=80),"Đạt","Vi phạm 8/80")</f>
        <v>Đạt</v>
      </c>
    </row>
    <row r="38" spans="1:7" x14ac:dyDescent="0.3">
      <c r="A38" s="15" t="s">
        <v>140</v>
      </c>
      <c r="B38" s="16">
        <v>2</v>
      </c>
      <c r="C38" s="17" t="s">
        <v>141</v>
      </c>
      <c r="D38" s="18" t="s">
        <v>142</v>
      </c>
      <c r="E38" s="19" t="s">
        <v>105</v>
      </c>
      <c r="F38" s="20">
        <f>SUMIFS($F$5:$F$78,$A$5:$A$78,"4.2.*",$B$5:$B$78,3)</f>
        <v>168</v>
      </c>
      <c r="G38" s="21"/>
    </row>
    <row r="39" spans="1:7" x14ac:dyDescent="0.3">
      <c r="A39" s="22" t="s">
        <v>143</v>
      </c>
      <c r="B39" s="23">
        <v>3</v>
      </c>
      <c r="C39" s="24" t="s">
        <v>144</v>
      </c>
      <c r="D39" s="24" t="s">
        <v>145</v>
      </c>
      <c r="E39" s="23" t="s">
        <v>105</v>
      </c>
      <c r="F39" s="25">
        <v>40</v>
      </c>
      <c r="G39" s="23" t="str">
        <f>IF(AND(F39&gt;=8,F39&lt;=80),"Đạt","Vi phạm 8/80")</f>
        <v>Đạt</v>
      </c>
    </row>
    <row r="40" spans="1:7" x14ac:dyDescent="0.3">
      <c r="A40" s="22" t="s">
        <v>146</v>
      </c>
      <c r="B40" s="23">
        <v>3</v>
      </c>
      <c r="C40" s="24" t="s">
        <v>147</v>
      </c>
      <c r="D40" s="24" t="s">
        <v>148</v>
      </c>
      <c r="E40" s="23" t="s">
        <v>105</v>
      </c>
      <c r="F40" s="25">
        <v>40</v>
      </c>
      <c r="G40" s="23" t="str">
        <f>IF(AND(F40&gt;=8,F40&lt;=80),"Đạt","Vi phạm 8/80")</f>
        <v>Đạt</v>
      </c>
    </row>
    <row r="41" spans="1:7" x14ac:dyDescent="0.3">
      <c r="A41" s="22" t="s">
        <v>149</v>
      </c>
      <c r="B41" s="23">
        <v>3</v>
      </c>
      <c r="C41" s="24" t="s">
        <v>150</v>
      </c>
      <c r="D41" s="24" t="s">
        <v>151</v>
      </c>
      <c r="E41" s="23" t="s">
        <v>105</v>
      </c>
      <c r="F41" s="25">
        <v>32</v>
      </c>
      <c r="G41" s="23" t="str">
        <f>IF(AND(F41&gt;=8,F41&lt;=80),"Đạt","Vi phạm 8/80")</f>
        <v>Đạt</v>
      </c>
    </row>
    <row r="42" spans="1:7" x14ac:dyDescent="0.3">
      <c r="A42" s="22" t="s">
        <v>152</v>
      </c>
      <c r="B42" s="23">
        <v>3</v>
      </c>
      <c r="C42" s="24" t="s">
        <v>153</v>
      </c>
      <c r="D42" s="24" t="s">
        <v>154</v>
      </c>
      <c r="E42" s="23" t="s">
        <v>105</v>
      </c>
      <c r="F42" s="25">
        <v>32</v>
      </c>
      <c r="G42" s="23" t="str">
        <f>IF(AND(F42&gt;=8,F42&lt;=80),"Đạt","Vi phạm 8/80")</f>
        <v>Đạt</v>
      </c>
    </row>
    <row r="43" spans="1:7" x14ac:dyDescent="0.3">
      <c r="A43" s="22" t="s">
        <v>155</v>
      </c>
      <c r="B43" s="23">
        <v>3</v>
      </c>
      <c r="C43" s="24" t="s">
        <v>156</v>
      </c>
      <c r="D43" s="24" t="s">
        <v>157</v>
      </c>
      <c r="E43" s="23" t="s">
        <v>105</v>
      </c>
      <c r="F43" s="25">
        <v>24</v>
      </c>
      <c r="G43" s="23" t="str">
        <f>IF(AND(F43&gt;=8,F43&lt;=80),"Đạt","Vi phạm 8/80")</f>
        <v>Đạt</v>
      </c>
    </row>
    <row r="44" spans="1:7" x14ac:dyDescent="0.3">
      <c r="A44" s="15" t="s">
        <v>158</v>
      </c>
      <c r="B44" s="16">
        <v>2</v>
      </c>
      <c r="C44" s="17" t="s">
        <v>159</v>
      </c>
      <c r="D44" s="18" t="s">
        <v>160</v>
      </c>
      <c r="E44" s="19" t="s">
        <v>105</v>
      </c>
      <c r="F44" s="20">
        <f>SUMIFS($F$5:$F$78,$A$5:$A$78,"4.3.*",$B$5:$B$78,3)</f>
        <v>32</v>
      </c>
      <c r="G44" s="21"/>
    </row>
    <row r="45" spans="1:7" x14ac:dyDescent="0.3">
      <c r="A45" s="22" t="s">
        <v>161</v>
      </c>
      <c r="B45" s="23">
        <v>3</v>
      </c>
      <c r="C45" s="24" t="s">
        <v>162</v>
      </c>
      <c r="D45" s="24" t="s">
        <v>163</v>
      </c>
      <c r="E45" s="23" t="s">
        <v>105</v>
      </c>
      <c r="F45" s="25">
        <v>32</v>
      </c>
      <c r="G45" s="23" t="str">
        <f>IF(AND(F45&gt;=8,F45&lt;=80),"Đạt","Vi phạm 8/80")</f>
        <v>Đạt</v>
      </c>
    </row>
    <row r="46" spans="1:7" x14ac:dyDescent="0.3">
      <c r="A46" s="15" t="s">
        <v>164</v>
      </c>
      <c r="B46" s="16">
        <v>2</v>
      </c>
      <c r="C46" s="17" t="s">
        <v>165</v>
      </c>
      <c r="D46" s="18" t="s">
        <v>166</v>
      </c>
      <c r="E46" s="19" t="s">
        <v>105</v>
      </c>
      <c r="F46" s="20">
        <f>SUMIFS($F$5:$F$78,$A$5:$A$78,"4.4.*",$B$5:$B$78,3)</f>
        <v>100</v>
      </c>
      <c r="G46" s="21"/>
    </row>
    <row r="47" spans="1:7" ht="26.4" x14ac:dyDescent="0.3">
      <c r="A47" s="22" t="s">
        <v>167</v>
      </c>
      <c r="B47" s="23">
        <v>3</v>
      </c>
      <c r="C47" s="24" t="s">
        <v>168</v>
      </c>
      <c r="D47" s="24" t="s">
        <v>169</v>
      </c>
      <c r="E47" s="23" t="s">
        <v>105</v>
      </c>
      <c r="F47" s="25">
        <v>60</v>
      </c>
      <c r="G47" s="23" t="str">
        <f>IF(AND(F47&gt;=8,F47&lt;=80),"Đạt","Vi phạm 8/80")</f>
        <v>Đạt</v>
      </c>
    </row>
    <row r="48" spans="1:7" ht="26.4" x14ac:dyDescent="0.3">
      <c r="A48" s="22" t="s">
        <v>170</v>
      </c>
      <c r="B48" s="23">
        <v>3</v>
      </c>
      <c r="C48" s="24" t="s">
        <v>171</v>
      </c>
      <c r="D48" s="24" t="s">
        <v>172</v>
      </c>
      <c r="E48" s="23" t="s">
        <v>105</v>
      </c>
      <c r="F48" s="25">
        <v>40</v>
      </c>
      <c r="G48" s="23" t="str">
        <f>IF(AND(F48&gt;=8,F48&lt;=80),"Đạt","Vi phạm 8/80")</f>
        <v>Đạt</v>
      </c>
    </row>
    <row r="49" spans="1:7" x14ac:dyDescent="0.3">
      <c r="A49" s="8" t="s">
        <v>173</v>
      </c>
      <c r="B49" s="9">
        <v>1</v>
      </c>
      <c r="C49" s="10" t="s">
        <v>174</v>
      </c>
      <c r="D49" s="11" t="s">
        <v>175</v>
      </c>
      <c r="E49" s="12" t="s">
        <v>121</v>
      </c>
      <c r="F49" s="13">
        <f>SUMIFS($F$5:$F$78,$A$5:$A$78,"5.*",$B$5:$B$78,3)</f>
        <v>312</v>
      </c>
      <c r="G49" s="14"/>
    </row>
    <row r="50" spans="1:7" x14ac:dyDescent="0.3">
      <c r="A50" s="15" t="s">
        <v>176</v>
      </c>
      <c r="B50" s="16">
        <v>2</v>
      </c>
      <c r="C50" s="17" t="s">
        <v>177</v>
      </c>
      <c r="D50" s="18" t="s">
        <v>178</v>
      </c>
      <c r="E50" s="19" t="s">
        <v>121</v>
      </c>
      <c r="F50" s="20">
        <f>SUMIFS($F$5:$F$78,$A$5:$A$78,"5.1.*",$B$5:$B$78,3)</f>
        <v>64</v>
      </c>
      <c r="G50" s="21"/>
    </row>
    <row r="51" spans="1:7" x14ac:dyDescent="0.3">
      <c r="A51" s="22" t="s">
        <v>179</v>
      </c>
      <c r="B51" s="23">
        <v>3</v>
      </c>
      <c r="C51" s="24" t="s">
        <v>180</v>
      </c>
      <c r="D51" s="24" t="s">
        <v>181</v>
      </c>
      <c r="E51" s="23" t="s">
        <v>121</v>
      </c>
      <c r="F51" s="25">
        <v>32</v>
      </c>
      <c r="G51" s="23" t="str">
        <f>IF(AND(F51&gt;=8,F51&lt;=80),"Đạt","Vi phạm 8/80")</f>
        <v>Đạt</v>
      </c>
    </row>
    <row r="52" spans="1:7" x14ac:dyDescent="0.3">
      <c r="A52" s="22" t="s">
        <v>182</v>
      </c>
      <c r="B52" s="23">
        <v>3</v>
      </c>
      <c r="C52" s="24" t="s">
        <v>183</v>
      </c>
      <c r="D52" s="24" t="s">
        <v>184</v>
      </c>
      <c r="E52" s="23" t="s">
        <v>121</v>
      </c>
      <c r="F52" s="25">
        <v>32</v>
      </c>
      <c r="G52" s="23" t="str">
        <f>IF(AND(F52&gt;=8,F52&lt;=80),"Đạt","Vi phạm 8/80")</f>
        <v>Đạt</v>
      </c>
    </row>
    <row r="53" spans="1:7" x14ac:dyDescent="0.3">
      <c r="A53" s="15" t="s">
        <v>185</v>
      </c>
      <c r="B53" s="16">
        <v>2</v>
      </c>
      <c r="C53" s="17" t="s">
        <v>186</v>
      </c>
      <c r="D53" s="18" t="s">
        <v>187</v>
      </c>
      <c r="E53" s="19" t="s">
        <v>121</v>
      </c>
      <c r="F53" s="20">
        <f>SUMIFS($F$5:$F$78,$A$5:$A$78,"5.2.*",$B$5:$B$78,3)</f>
        <v>224</v>
      </c>
      <c r="G53" s="21"/>
    </row>
    <row r="54" spans="1:7" x14ac:dyDescent="0.3">
      <c r="A54" s="22" t="s">
        <v>188</v>
      </c>
      <c r="B54" s="23">
        <v>3</v>
      </c>
      <c r="C54" s="24" t="s">
        <v>189</v>
      </c>
      <c r="D54" s="24" t="s">
        <v>190</v>
      </c>
      <c r="E54" s="23" t="s">
        <v>121</v>
      </c>
      <c r="F54" s="25">
        <v>56</v>
      </c>
      <c r="G54" s="23" t="str">
        <f>IF(AND(F54&gt;=8,F54&lt;=80),"Đạt","Vi phạm 8/80")</f>
        <v>Đạt</v>
      </c>
    </row>
    <row r="55" spans="1:7" x14ac:dyDescent="0.3">
      <c r="A55" s="22" t="s">
        <v>191</v>
      </c>
      <c r="B55" s="23">
        <v>3</v>
      </c>
      <c r="C55" s="24" t="s">
        <v>192</v>
      </c>
      <c r="D55" s="24" t="s">
        <v>193</v>
      </c>
      <c r="E55" s="23" t="s">
        <v>121</v>
      </c>
      <c r="F55" s="25">
        <v>48</v>
      </c>
      <c r="G55" s="23" t="str">
        <f>IF(AND(F55&gt;=8,F55&lt;=80),"Đạt","Vi phạm 8/80")</f>
        <v>Đạt</v>
      </c>
    </row>
    <row r="56" spans="1:7" x14ac:dyDescent="0.3">
      <c r="A56" s="22" t="s">
        <v>194</v>
      </c>
      <c r="B56" s="23">
        <v>3</v>
      </c>
      <c r="C56" s="24" t="s">
        <v>195</v>
      </c>
      <c r="D56" s="24" t="s">
        <v>196</v>
      </c>
      <c r="E56" s="23" t="s">
        <v>121</v>
      </c>
      <c r="F56" s="25">
        <v>40</v>
      </c>
      <c r="G56" s="23" t="str">
        <f>IF(AND(F56&gt;=8,F56&lt;=80),"Đạt","Vi phạm 8/80")</f>
        <v>Đạt</v>
      </c>
    </row>
    <row r="57" spans="1:7" x14ac:dyDescent="0.3">
      <c r="A57" s="22" t="s">
        <v>197</v>
      </c>
      <c r="B57" s="23">
        <v>3</v>
      </c>
      <c r="C57" s="24" t="s">
        <v>198</v>
      </c>
      <c r="D57" s="24" t="s">
        <v>199</v>
      </c>
      <c r="E57" s="23" t="s">
        <v>121</v>
      </c>
      <c r="F57" s="25">
        <v>40</v>
      </c>
      <c r="G57" s="23" t="str">
        <f>IF(AND(F57&gt;=8,F57&lt;=80),"Đạt","Vi phạm 8/80")</f>
        <v>Đạt</v>
      </c>
    </row>
    <row r="58" spans="1:7" x14ac:dyDescent="0.3">
      <c r="A58" s="22" t="s">
        <v>200</v>
      </c>
      <c r="B58" s="23">
        <v>3</v>
      </c>
      <c r="C58" s="24" t="s">
        <v>201</v>
      </c>
      <c r="D58" s="24" t="s">
        <v>202</v>
      </c>
      <c r="E58" s="23" t="s">
        <v>121</v>
      </c>
      <c r="F58" s="25">
        <v>40</v>
      </c>
      <c r="G58" s="23" t="str">
        <f>IF(AND(F58&gt;=8,F58&lt;=80),"Đạt","Vi phạm 8/80")</f>
        <v>Đạt</v>
      </c>
    </row>
    <row r="59" spans="1:7" x14ac:dyDescent="0.3">
      <c r="A59" s="15" t="s">
        <v>203</v>
      </c>
      <c r="B59" s="16">
        <v>2</v>
      </c>
      <c r="C59" s="17" t="s">
        <v>204</v>
      </c>
      <c r="D59" s="18" t="s">
        <v>205</v>
      </c>
      <c r="E59" s="19" t="s">
        <v>121</v>
      </c>
      <c r="F59" s="20">
        <f>SUMIFS($F$5:$F$78,$A$5:$A$78,"5.3.*",$B$5:$B$78,3)</f>
        <v>24</v>
      </c>
      <c r="G59" s="21"/>
    </row>
    <row r="60" spans="1:7" x14ac:dyDescent="0.3">
      <c r="A60" s="22" t="s">
        <v>206</v>
      </c>
      <c r="B60" s="23">
        <v>3</v>
      </c>
      <c r="C60" s="24" t="s">
        <v>207</v>
      </c>
      <c r="D60" s="24" t="s">
        <v>208</v>
      </c>
      <c r="E60" s="23" t="s">
        <v>121</v>
      </c>
      <c r="F60" s="25">
        <v>24</v>
      </c>
      <c r="G60" s="23" t="str">
        <f>IF(AND(F60&gt;=8,F60&lt;=80),"Đạt","Vi phạm 8/80")</f>
        <v>Đạt</v>
      </c>
    </row>
    <row r="61" spans="1:7" x14ac:dyDescent="0.3">
      <c r="A61" s="8" t="s">
        <v>209</v>
      </c>
      <c r="B61" s="9">
        <v>1</v>
      </c>
      <c r="C61" s="10" t="s">
        <v>210</v>
      </c>
      <c r="D61" s="11" t="s">
        <v>211</v>
      </c>
      <c r="E61" s="12" t="s">
        <v>212</v>
      </c>
      <c r="F61" s="13">
        <f>SUMIFS($F$5:$F$78,$A$5:$A$78,"6.*",$B$5:$B$78,3)</f>
        <v>220</v>
      </c>
      <c r="G61" s="14"/>
    </row>
    <row r="62" spans="1:7" x14ac:dyDescent="0.3">
      <c r="A62" s="15" t="s">
        <v>213</v>
      </c>
      <c r="B62" s="16">
        <v>2</v>
      </c>
      <c r="C62" s="17" t="s">
        <v>214</v>
      </c>
      <c r="D62" s="18" t="s">
        <v>215</v>
      </c>
      <c r="E62" s="19" t="s">
        <v>212</v>
      </c>
      <c r="F62" s="20">
        <f>SUMIFS($F$5:$F$78,$A$5:$A$78,"6.1.*",$B$5:$B$78,3)</f>
        <v>32</v>
      </c>
      <c r="G62" s="21"/>
    </row>
    <row r="63" spans="1:7" x14ac:dyDescent="0.3">
      <c r="A63" s="22" t="s">
        <v>216</v>
      </c>
      <c r="B63" s="23">
        <v>3</v>
      </c>
      <c r="C63" s="24" t="s">
        <v>217</v>
      </c>
      <c r="D63" s="24" t="s">
        <v>218</v>
      </c>
      <c r="E63" s="23" t="s">
        <v>212</v>
      </c>
      <c r="F63" s="25">
        <v>32</v>
      </c>
      <c r="G63" s="23" t="str">
        <f>IF(AND(F63&gt;=8,F63&lt;=80),"Đạt","Vi phạm 8/80")</f>
        <v>Đạt</v>
      </c>
    </row>
    <row r="64" spans="1:7" x14ac:dyDescent="0.3">
      <c r="A64" s="15" t="s">
        <v>219</v>
      </c>
      <c r="B64" s="16">
        <v>2</v>
      </c>
      <c r="C64" s="17" t="s">
        <v>220</v>
      </c>
      <c r="D64" s="18" t="s">
        <v>221</v>
      </c>
      <c r="E64" s="19" t="s">
        <v>212</v>
      </c>
      <c r="F64" s="20">
        <f>SUMIFS($F$5:$F$78,$A$5:$A$78,"6.2.*",$B$5:$B$78,3)</f>
        <v>164</v>
      </c>
      <c r="G64" s="21"/>
    </row>
    <row r="65" spans="1:7" x14ac:dyDescent="0.3">
      <c r="A65" s="22" t="s">
        <v>222</v>
      </c>
      <c r="B65" s="23">
        <v>3</v>
      </c>
      <c r="C65" s="24" t="s">
        <v>223</v>
      </c>
      <c r="D65" s="24" t="s">
        <v>224</v>
      </c>
      <c r="E65" s="23" t="s">
        <v>212</v>
      </c>
      <c r="F65" s="25">
        <v>64</v>
      </c>
      <c r="G65" s="23" t="str">
        <f>IF(AND(F65&gt;=8,F65&lt;=80),"Đạt","Vi phạm 8/80")</f>
        <v>Đạt</v>
      </c>
    </row>
    <row r="66" spans="1:7" x14ac:dyDescent="0.3">
      <c r="A66" s="22" t="s">
        <v>225</v>
      </c>
      <c r="B66" s="23">
        <v>3</v>
      </c>
      <c r="C66" s="24" t="s">
        <v>226</v>
      </c>
      <c r="D66" s="24" t="s">
        <v>227</v>
      </c>
      <c r="E66" s="23" t="s">
        <v>212</v>
      </c>
      <c r="F66" s="25">
        <v>24</v>
      </c>
      <c r="G66" s="23" t="str">
        <f>IF(AND(F66&gt;=8,F66&lt;=80),"Đạt","Vi phạm 8/80")</f>
        <v>Đạt</v>
      </c>
    </row>
    <row r="67" spans="1:7" x14ac:dyDescent="0.3">
      <c r="A67" s="22" t="s">
        <v>228</v>
      </c>
      <c r="B67" s="23">
        <v>3</v>
      </c>
      <c r="C67" s="24" t="s">
        <v>229</v>
      </c>
      <c r="D67" s="24" t="s">
        <v>230</v>
      </c>
      <c r="E67" s="23" t="s">
        <v>212</v>
      </c>
      <c r="F67" s="25">
        <v>16</v>
      </c>
      <c r="G67" s="23" t="str">
        <f>IF(AND(F67&gt;=8,F67&lt;=80),"Đạt","Vi phạm 8/80")</f>
        <v>Đạt</v>
      </c>
    </row>
    <row r="68" spans="1:7" x14ac:dyDescent="0.3">
      <c r="A68" s="22" t="s">
        <v>231</v>
      </c>
      <c r="B68" s="23">
        <v>3</v>
      </c>
      <c r="C68" s="24" t="s">
        <v>232</v>
      </c>
      <c r="D68" s="24" t="s">
        <v>233</v>
      </c>
      <c r="E68" s="23" t="s">
        <v>121</v>
      </c>
      <c r="F68" s="25">
        <v>60</v>
      </c>
      <c r="G68" s="23" t="str">
        <f>IF(AND(F68&gt;=8,F68&lt;=80),"Đạt","Vi phạm 8/80")</f>
        <v>Đạt</v>
      </c>
    </row>
    <row r="69" spans="1:7" x14ac:dyDescent="0.3">
      <c r="A69" s="15" t="s">
        <v>234</v>
      </c>
      <c r="B69" s="16">
        <v>2</v>
      </c>
      <c r="C69" s="17" t="s">
        <v>235</v>
      </c>
      <c r="D69" s="18" t="s">
        <v>236</v>
      </c>
      <c r="E69" s="19" t="s">
        <v>212</v>
      </c>
      <c r="F69" s="20">
        <f>SUMIFS($F$5:$F$78,$A$5:$A$78,"6.3.*",$B$5:$B$78,3)</f>
        <v>24</v>
      </c>
      <c r="G69" s="21"/>
    </row>
    <row r="70" spans="1:7" x14ac:dyDescent="0.3">
      <c r="A70" s="22" t="s">
        <v>237</v>
      </c>
      <c r="B70" s="23">
        <v>3</v>
      </c>
      <c r="C70" s="24" t="s">
        <v>238</v>
      </c>
      <c r="D70" s="24" t="s">
        <v>239</v>
      </c>
      <c r="E70" s="23" t="s">
        <v>212</v>
      </c>
      <c r="F70" s="25">
        <v>24</v>
      </c>
      <c r="G70" s="23" t="str">
        <f>IF(AND(F70&gt;=8,F70&lt;=80),"Đạt","Vi phạm 8/80")</f>
        <v>Đạt</v>
      </c>
    </row>
    <row r="71" spans="1:7" x14ac:dyDescent="0.3">
      <c r="A71" s="8" t="s">
        <v>240</v>
      </c>
      <c r="B71" s="9">
        <v>1</v>
      </c>
      <c r="C71" s="10" t="s">
        <v>241</v>
      </c>
      <c r="D71" s="11" t="s">
        <v>242</v>
      </c>
      <c r="E71" s="12" t="s">
        <v>105</v>
      </c>
      <c r="F71" s="13">
        <f>SUMIFS($F$5:$F$78,$A$5:$A$78,"7.*",$B$5:$B$78,3)</f>
        <v>104</v>
      </c>
      <c r="G71" s="14"/>
    </row>
    <row r="72" spans="1:7" x14ac:dyDescent="0.3">
      <c r="A72" s="15" t="s">
        <v>243</v>
      </c>
      <c r="B72" s="16">
        <v>2</v>
      </c>
      <c r="C72" s="17" t="s">
        <v>244</v>
      </c>
      <c r="D72" s="18" t="s">
        <v>245</v>
      </c>
      <c r="E72" s="19" t="s">
        <v>105</v>
      </c>
      <c r="F72" s="20">
        <f>SUMIFS($F$5:$F$78,$A$5:$A$78,"7.1.*",$B$5:$B$78,3)</f>
        <v>32</v>
      </c>
      <c r="G72" s="21"/>
    </row>
    <row r="73" spans="1:7" x14ac:dyDescent="0.3">
      <c r="A73" s="22" t="s">
        <v>246</v>
      </c>
      <c r="B73" s="23">
        <v>3</v>
      </c>
      <c r="C73" s="24" t="s">
        <v>247</v>
      </c>
      <c r="D73" s="24" t="s">
        <v>248</v>
      </c>
      <c r="E73" s="23" t="s">
        <v>105</v>
      </c>
      <c r="F73" s="25">
        <v>16</v>
      </c>
      <c r="G73" s="23" t="str">
        <f>IF(AND(F73&gt;=8,F73&lt;=80),"Đạt","Vi phạm 8/80")</f>
        <v>Đạt</v>
      </c>
    </row>
    <row r="74" spans="1:7" x14ac:dyDescent="0.3">
      <c r="A74" s="22" t="s">
        <v>249</v>
      </c>
      <c r="B74" s="23">
        <v>3</v>
      </c>
      <c r="C74" s="24" t="s">
        <v>250</v>
      </c>
      <c r="D74" s="24" t="s">
        <v>251</v>
      </c>
      <c r="E74" s="23" t="s">
        <v>105</v>
      </c>
      <c r="F74" s="25">
        <v>16</v>
      </c>
      <c r="G74" s="23" t="str">
        <f>IF(AND(F74&gt;=8,F74&lt;=80),"Đạt","Vi phạm 8/80")</f>
        <v>Đạt</v>
      </c>
    </row>
    <row r="75" spans="1:7" x14ac:dyDescent="0.3">
      <c r="A75" s="15" t="s">
        <v>252</v>
      </c>
      <c r="B75" s="16">
        <v>2</v>
      </c>
      <c r="C75" s="17" t="s">
        <v>253</v>
      </c>
      <c r="D75" s="18" t="s">
        <v>254</v>
      </c>
      <c r="E75" s="19" t="s">
        <v>80</v>
      </c>
      <c r="F75" s="20">
        <f>SUMIFS($F$5:$F$78,$A$5:$A$78,"7.2.*",$B$5:$B$78,3)</f>
        <v>72</v>
      </c>
      <c r="G75" s="21"/>
    </row>
    <row r="76" spans="1:7" x14ac:dyDescent="0.3">
      <c r="A76" s="22" t="s">
        <v>255</v>
      </c>
      <c r="B76" s="23">
        <v>3</v>
      </c>
      <c r="C76" s="24" t="s">
        <v>256</v>
      </c>
      <c r="D76" s="24" t="s">
        <v>257</v>
      </c>
      <c r="E76" s="23" t="s">
        <v>80</v>
      </c>
      <c r="F76" s="25">
        <v>24</v>
      </c>
      <c r="G76" s="23" t="str">
        <f>IF(AND(F76&gt;=8,F76&lt;=80),"Đạt","Vi phạm 8/80")</f>
        <v>Đạt</v>
      </c>
    </row>
    <row r="77" spans="1:7" x14ac:dyDescent="0.3">
      <c r="A77" s="22" t="s">
        <v>258</v>
      </c>
      <c r="B77" s="23">
        <v>3</v>
      </c>
      <c r="C77" s="24" t="s">
        <v>259</v>
      </c>
      <c r="D77" s="24" t="s">
        <v>260</v>
      </c>
      <c r="E77" s="23" t="s">
        <v>80</v>
      </c>
      <c r="F77" s="25">
        <v>16</v>
      </c>
      <c r="G77" s="23" t="str">
        <f>IF(AND(F77&gt;=8,F77&lt;=80),"Đạt","Vi phạm 8/80")</f>
        <v>Đạt</v>
      </c>
    </row>
    <row r="78" spans="1:7" x14ac:dyDescent="0.3">
      <c r="A78" s="22" t="s">
        <v>261</v>
      </c>
      <c r="B78" s="23">
        <v>3</v>
      </c>
      <c r="C78" s="24" t="s">
        <v>262</v>
      </c>
      <c r="D78" s="24" t="s">
        <v>263</v>
      </c>
      <c r="E78" s="23" t="s">
        <v>105</v>
      </c>
      <c r="F78" s="25">
        <v>32</v>
      </c>
      <c r="G78" s="23" t="str">
        <f>IF(AND(F78&gt;=8,F78&lt;=80),"Đạt","Vi phạm 8/80")</f>
        <v>Đạt</v>
      </c>
    </row>
    <row r="80" spans="1:7" x14ac:dyDescent="0.3">
      <c r="C80" s="26" t="s">
        <v>264</v>
      </c>
      <c r="F80" s="27">
        <f>SUMIFS($F$5:$F$78,$B$5:$B$78,3)</f>
        <v>1364</v>
      </c>
    </row>
    <row r="81" spans="3:7" x14ac:dyDescent="0.3">
      <c r="C81" s="26" t="s">
        <v>265</v>
      </c>
      <c r="F81" s="27">
        <f>SUMIFS($F$5:$F$78,$B$5:$B$78,1)</f>
        <v>1364</v>
      </c>
      <c r="G81" s="28" t="str">
        <f>IF(F81=F80,"Khớp","Lệch")</f>
        <v>Khớp</v>
      </c>
    </row>
    <row r="82" spans="3:7" x14ac:dyDescent="0.3">
      <c r="C82" s="26" t="s">
        <v>266</v>
      </c>
      <c r="F82" s="29">
        <f>COUNTIF($G$5:$G$78,"Vi phạm 8/80")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showGridLines="0" tabSelected="1" topLeftCell="A5" workbookViewId="0">
      <selection activeCell="B2" sqref="B2"/>
    </sheetView>
  </sheetViews>
  <sheetFormatPr defaultRowHeight="14.4" x14ac:dyDescent="0.3"/>
  <cols>
    <col min="1" max="1" width="14" customWidth="1"/>
    <col min="2" max="2" width="38" customWidth="1"/>
    <col min="3" max="4" width="18" customWidth="1"/>
    <col min="5" max="5" width="20" customWidth="1"/>
  </cols>
  <sheetData>
    <row r="1" spans="1:5" ht="17.399999999999999" x14ac:dyDescent="0.3">
      <c r="A1" s="1" t="s">
        <v>267</v>
      </c>
    </row>
    <row r="2" spans="1:5" x14ac:dyDescent="0.3">
      <c r="A2" s="2" t="s">
        <v>268</v>
      </c>
    </row>
    <row r="4" spans="1:5" ht="26.4" x14ac:dyDescent="0.3">
      <c r="A4" s="7" t="s">
        <v>269</v>
      </c>
      <c r="B4" s="7" t="s">
        <v>270</v>
      </c>
      <c r="C4" s="7" t="s">
        <v>271</v>
      </c>
      <c r="D4" s="7" t="s">
        <v>272</v>
      </c>
      <c r="E4" s="7" t="s">
        <v>273</v>
      </c>
    </row>
    <row r="5" spans="1:5" x14ac:dyDescent="0.3">
      <c r="A5" s="26" t="s">
        <v>40</v>
      </c>
      <c r="B5" s="22" t="s">
        <v>38</v>
      </c>
      <c r="C5" s="30">
        <v>180000</v>
      </c>
      <c r="D5" s="31">
        <f>SUMIFS(WBS!$F$5:$F$78,WBS!$E$5:$E$78,A5,WBS!$B$5:$B$78,3)</f>
        <v>156</v>
      </c>
      <c r="E5" s="32">
        <f>C5*D5</f>
        <v>28080000</v>
      </c>
    </row>
    <row r="6" spans="1:5" x14ac:dyDescent="0.3">
      <c r="A6" s="26" t="s">
        <v>80</v>
      </c>
      <c r="B6" s="22" t="s">
        <v>274</v>
      </c>
      <c r="C6" s="30">
        <v>150000</v>
      </c>
      <c r="D6" s="31">
        <f>SUMIFS(WBS!$F$5:$F$78,WBS!$E$5:$E$78,A6,WBS!$B$5:$B$78,3)</f>
        <v>144</v>
      </c>
      <c r="E6" s="32">
        <f>C6*D6</f>
        <v>21600000</v>
      </c>
    </row>
    <row r="7" spans="1:5" x14ac:dyDescent="0.3">
      <c r="A7" s="26" t="s">
        <v>105</v>
      </c>
      <c r="B7" s="22" t="s">
        <v>275</v>
      </c>
      <c r="C7" s="30">
        <v>160000</v>
      </c>
      <c r="D7" s="31">
        <f>SUMIFS(WBS!$F$5:$F$78,WBS!$E$5:$E$78,A7,WBS!$B$5:$B$78,3)</f>
        <v>460</v>
      </c>
      <c r="E7" s="32">
        <f>C7*D7</f>
        <v>73600000</v>
      </c>
    </row>
    <row r="8" spans="1:5" x14ac:dyDescent="0.3">
      <c r="A8" s="26" t="s">
        <v>121</v>
      </c>
      <c r="B8" s="22" t="s">
        <v>276</v>
      </c>
      <c r="C8" s="30">
        <v>150000</v>
      </c>
      <c r="D8" s="31">
        <f>SUMIFS(WBS!$F$5:$F$78,WBS!$E$5:$E$78,A8,WBS!$B$5:$B$78,3)</f>
        <v>444</v>
      </c>
      <c r="E8" s="32">
        <f>C8*D8</f>
        <v>66600000</v>
      </c>
    </row>
    <row r="9" spans="1:5" x14ac:dyDescent="0.3">
      <c r="A9" s="26" t="s">
        <v>212</v>
      </c>
      <c r="B9" s="22" t="s">
        <v>277</v>
      </c>
      <c r="C9" s="30">
        <v>120000</v>
      </c>
      <c r="D9" s="31">
        <f>SUMIFS(WBS!$F$5:$F$78,WBS!$E$5:$E$78,A9,WBS!$B$5:$B$78,3)</f>
        <v>160</v>
      </c>
      <c r="E9" s="32">
        <f>C9*D9</f>
        <v>19200000</v>
      </c>
    </row>
    <row r="10" spans="1:5" x14ac:dyDescent="0.3">
      <c r="A10" s="26" t="s">
        <v>278</v>
      </c>
      <c r="D10" s="27">
        <f>SUM(D5:D9)</f>
        <v>1364</v>
      </c>
      <c r="E10" s="33">
        <f>SUM(E5:E9)</f>
        <v>209080000</v>
      </c>
    </row>
    <row r="11" spans="1:5" x14ac:dyDescent="0.3">
      <c r="B11" s="22" t="s">
        <v>279</v>
      </c>
      <c r="D11" s="23" t="str">
        <f>IF(D10=WBS!$F$80,"Khớp","Lệch")</f>
        <v>Khớp</v>
      </c>
    </row>
    <row r="13" spans="1:5" x14ac:dyDescent="0.3">
      <c r="A13" s="7" t="s">
        <v>280</v>
      </c>
      <c r="B13" s="7" t="s">
        <v>270</v>
      </c>
      <c r="C13" s="7" t="s">
        <v>281</v>
      </c>
      <c r="D13" s="7" t="s">
        <v>282</v>
      </c>
      <c r="E13" s="7" t="s">
        <v>273</v>
      </c>
    </row>
    <row r="14" spans="1:5" x14ac:dyDescent="0.3">
      <c r="A14" s="26" t="s">
        <v>283</v>
      </c>
      <c r="B14" s="24" t="s">
        <v>284</v>
      </c>
      <c r="C14" s="25">
        <v>12</v>
      </c>
      <c r="D14" s="30">
        <v>500000</v>
      </c>
      <c r="E14" s="32">
        <f>C14*D14</f>
        <v>6000000</v>
      </c>
    </row>
    <row r="15" spans="1:5" x14ac:dyDescent="0.3">
      <c r="A15" s="26" t="s">
        <v>285</v>
      </c>
      <c r="B15" s="24" t="s">
        <v>286</v>
      </c>
      <c r="C15" s="25">
        <v>1</v>
      </c>
      <c r="D15" s="30">
        <v>1000000</v>
      </c>
      <c r="E15" s="32">
        <f>C15*D15</f>
        <v>1000000</v>
      </c>
    </row>
    <row r="16" spans="1:5" x14ac:dyDescent="0.3">
      <c r="A16" s="26" t="s">
        <v>287</v>
      </c>
      <c r="B16" s="24" t="s">
        <v>288</v>
      </c>
      <c r="C16" s="25">
        <v>2</v>
      </c>
      <c r="D16" s="30">
        <v>1500000</v>
      </c>
      <c r="E16" s="32">
        <f>C16*D16</f>
        <v>3000000</v>
      </c>
    </row>
    <row r="17" spans="1:5" x14ac:dyDescent="0.3">
      <c r="A17" s="26" t="s">
        <v>289</v>
      </c>
      <c r="E17" s="33">
        <f>SUM(E14:E16)</f>
        <v>10000000</v>
      </c>
    </row>
    <row r="19" spans="1:5" x14ac:dyDescent="0.3">
      <c r="A19" s="26" t="s">
        <v>290</v>
      </c>
      <c r="E19" s="33">
        <f>E10+E17</f>
        <v>219080000</v>
      </c>
    </row>
    <row r="20" spans="1:5" x14ac:dyDescent="0.3">
      <c r="A20" s="26" t="s">
        <v>291</v>
      </c>
      <c r="B20" s="22" t="s">
        <v>292</v>
      </c>
      <c r="C20" s="34">
        <v>0.1</v>
      </c>
      <c r="E20" s="32">
        <f>E19*C20</f>
        <v>21908000</v>
      </c>
    </row>
    <row r="21" spans="1:5" x14ac:dyDescent="0.3">
      <c r="A21" s="26" t="s">
        <v>293</v>
      </c>
      <c r="E21" s="33">
        <f>E19+E20</f>
        <v>240988000</v>
      </c>
    </row>
    <row r="22" spans="1:5" x14ac:dyDescent="0.3">
      <c r="A22" s="26" t="s">
        <v>294</v>
      </c>
      <c r="B22" s="22" t="s">
        <v>295</v>
      </c>
      <c r="E22" s="30">
        <v>250000000</v>
      </c>
    </row>
    <row r="23" spans="1:5" x14ac:dyDescent="0.3">
      <c r="A23" s="26" t="s">
        <v>296</v>
      </c>
      <c r="E23" s="33">
        <f>E22-E21</f>
        <v>9012000</v>
      </c>
    </row>
    <row r="24" spans="1:5" x14ac:dyDescent="0.3">
      <c r="A24" s="26" t="s">
        <v>297</v>
      </c>
      <c r="E24" s="35">
        <f>E21/E22</f>
        <v>0.96395200000000003</v>
      </c>
    </row>
    <row r="25" spans="1:5" x14ac:dyDescent="0.3">
      <c r="A25" s="26" t="s">
        <v>298</v>
      </c>
      <c r="E25" s="28" t="str">
        <f>IF(E21&lt;=E22,"Trong ngân sách","VƯỢT NGÂN SÁCH")</f>
        <v>Trong ngân sách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5"/>
  <sheetViews>
    <sheetView showGridLines="0" workbookViewId="0">
      <pane xSplit="2" ySplit="8" topLeftCell="C2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38" customWidth="1"/>
    <col min="3" max="3" width="14" customWidth="1"/>
    <col min="4" max="4" width="11" customWidth="1"/>
    <col min="5" max="7" width="6" customWidth="1"/>
    <col min="8" max="8" width="11" customWidth="1"/>
    <col min="9" max="9" width="9" customWidth="1"/>
    <col min="10" max="16" width="8" customWidth="1"/>
    <col min="17" max="18" width="12" customWidth="1"/>
    <col min="19" max="20" width="14" customWidth="1"/>
  </cols>
  <sheetData>
    <row r="1" spans="1:20" ht="17.399999999999999" x14ac:dyDescent="0.3">
      <c r="A1" s="1" t="s">
        <v>299</v>
      </c>
    </row>
    <row r="3" spans="1:20" x14ac:dyDescent="0.3">
      <c r="A3" s="26" t="s">
        <v>300</v>
      </c>
      <c r="C3" s="36">
        <v>46300</v>
      </c>
      <c r="D3" s="2" t="s">
        <v>301</v>
      </c>
    </row>
    <row r="4" spans="1:20" x14ac:dyDescent="0.3">
      <c r="A4" s="26" t="s">
        <v>302</v>
      </c>
      <c r="C4" s="36">
        <v>46387</v>
      </c>
    </row>
    <row r="5" spans="1:20" x14ac:dyDescent="0.3">
      <c r="A5" s="26" t="s">
        <v>303</v>
      </c>
      <c r="C5" s="29">
        <f>NETWORKDAYS(C3,C4)</f>
        <v>64</v>
      </c>
    </row>
    <row r="8" spans="1:20" ht="42" customHeight="1" x14ac:dyDescent="0.3">
      <c r="A8" s="7" t="s">
        <v>304</v>
      </c>
      <c r="B8" s="7" t="s">
        <v>305</v>
      </c>
      <c r="C8" s="7" t="s">
        <v>306</v>
      </c>
      <c r="D8" s="7" t="s">
        <v>307</v>
      </c>
      <c r="E8" s="7" t="s">
        <v>308</v>
      </c>
      <c r="F8" s="7" t="s">
        <v>309</v>
      </c>
      <c r="G8" s="7" t="s">
        <v>310</v>
      </c>
      <c r="H8" s="7" t="s">
        <v>311</v>
      </c>
      <c r="I8" s="7" t="s">
        <v>312</v>
      </c>
      <c r="J8" s="7" t="s">
        <v>313</v>
      </c>
      <c r="K8" s="7" t="s">
        <v>314</v>
      </c>
      <c r="L8" s="7" t="s">
        <v>315</v>
      </c>
      <c r="M8" s="7" t="s">
        <v>316</v>
      </c>
      <c r="N8" s="7" t="s">
        <v>317</v>
      </c>
      <c r="O8" s="7" t="s">
        <v>318</v>
      </c>
      <c r="P8" s="7" t="s">
        <v>319</v>
      </c>
      <c r="Q8" s="7" t="s">
        <v>320</v>
      </c>
      <c r="R8" s="7" t="s">
        <v>321</v>
      </c>
      <c r="S8" s="7" t="s">
        <v>322</v>
      </c>
      <c r="T8" s="7" t="s">
        <v>323</v>
      </c>
    </row>
    <row r="9" spans="1:20" ht="26.4" x14ac:dyDescent="0.3">
      <c r="A9" s="28" t="s">
        <v>324</v>
      </c>
      <c r="B9" s="24" t="s">
        <v>325</v>
      </c>
      <c r="C9" s="23" t="s">
        <v>326</v>
      </c>
      <c r="D9" s="23" t="s">
        <v>327</v>
      </c>
      <c r="E9" s="37">
        <v>3</v>
      </c>
      <c r="F9" s="37">
        <v>5</v>
      </c>
      <c r="G9" s="37">
        <v>8</v>
      </c>
      <c r="H9" s="38">
        <f t="shared" ref="H9:H23" si="0">(E9+4*F9+G9)/6</f>
        <v>5.166666666666667</v>
      </c>
      <c r="I9" s="38">
        <f t="shared" ref="I9:I23" si="1">(G9-E9)/6</f>
        <v>0.83333333333333337</v>
      </c>
      <c r="J9" s="38">
        <f t="shared" ref="J9:J23" si="2">I9^2</f>
        <v>0.69444444444444453</v>
      </c>
      <c r="K9" s="38">
        <f>0</f>
        <v>0</v>
      </c>
      <c r="L9" s="38">
        <f t="shared" ref="L9:L23" si="3">K9+H9</f>
        <v>5.166666666666667</v>
      </c>
      <c r="M9" s="38">
        <f t="shared" ref="M9:M23" si="4">N9-H9</f>
        <v>-1.0658141036401503E-14</v>
      </c>
      <c r="N9" s="38">
        <f>MIN(M10)</f>
        <v>5.1666666666666563</v>
      </c>
      <c r="O9" s="38">
        <f t="shared" ref="O9:O23" si="5">M9-K9</f>
        <v>-1.0658141036401503E-14</v>
      </c>
      <c r="P9" s="28" t="str">
        <f t="shared" ref="P9:P23" si="6">IF(ABS(O9)&lt;0.005,"Găng","")</f>
        <v>Găng</v>
      </c>
      <c r="Q9" s="39">
        <f t="shared" ref="Q9:Q23" si="7">WORKDAY($C$3,INT(K9))</f>
        <v>46300</v>
      </c>
      <c r="R9" s="39">
        <f t="shared" ref="R9:R23" si="8">WORKDAY($C$3,ROUNDUP(L9,0)-1)</f>
        <v>46307</v>
      </c>
      <c r="S9" s="40">
        <f>31/6</f>
        <v>5.166666666666667</v>
      </c>
      <c r="T9" s="38">
        <f t="shared" ref="T9:T23" si="9">IF(S9="","",H9-S9)</f>
        <v>0</v>
      </c>
    </row>
    <row r="10" spans="1:20" x14ac:dyDescent="0.3">
      <c r="A10" s="28" t="s">
        <v>328</v>
      </c>
      <c r="B10" s="24" t="s">
        <v>329</v>
      </c>
      <c r="C10" s="23" t="s">
        <v>81</v>
      </c>
      <c r="D10" s="23" t="s">
        <v>324</v>
      </c>
      <c r="E10" s="37">
        <v>4</v>
      </c>
      <c r="F10" s="37">
        <v>6</v>
      </c>
      <c r="G10" s="37">
        <v>10</v>
      </c>
      <c r="H10" s="38">
        <f t="shared" si="0"/>
        <v>6.333333333333333</v>
      </c>
      <c r="I10" s="38">
        <f t="shared" si="1"/>
        <v>1</v>
      </c>
      <c r="J10" s="38">
        <f t="shared" si="2"/>
        <v>1</v>
      </c>
      <c r="K10" s="38">
        <f>MAX(L9)</f>
        <v>5.166666666666667</v>
      </c>
      <c r="L10" s="38">
        <f t="shared" si="3"/>
        <v>11.5</v>
      </c>
      <c r="M10" s="38">
        <f t="shared" si="4"/>
        <v>5.1666666666666563</v>
      </c>
      <c r="N10" s="38">
        <f>MIN(M11)</f>
        <v>11.499999999999989</v>
      </c>
      <c r="O10" s="38">
        <f t="shared" si="5"/>
        <v>-1.0658141036401503E-14</v>
      </c>
      <c r="P10" s="28" t="str">
        <f t="shared" si="6"/>
        <v>Găng</v>
      </c>
      <c r="Q10" s="39">
        <f t="shared" si="7"/>
        <v>46307</v>
      </c>
      <c r="R10" s="39">
        <f t="shared" si="8"/>
        <v>46315</v>
      </c>
      <c r="S10" s="40">
        <f>38/6</f>
        <v>6.333333333333333</v>
      </c>
      <c r="T10" s="38">
        <f t="shared" si="9"/>
        <v>0</v>
      </c>
    </row>
    <row r="11" spans="1:20" x14ac:dyDescent="0.3">
      <c r="A11" s="28" t="s">
        <v>330</v>
      </c>
      <c r="B11" s="24" t="s">
        <v>331</v>
      </c>
      <c r="C11" s="23" t="s">
        <v>90</v>
      </c>
      <c r="D11" s="23" t="s">
        <v>328</v>
      </c>
      <c r="E11" s="37">
        <v>4</v>
      </c>
      <c r="F11" s="37">
        <v>6</v>
      </c>
      <c r="G11" s="37">
        <v>9</v>
      </c>
      <c r="H11" s="38">
        <f t="shared" si="0"/>
        <v>6.166666666666667</v>
      </c>
      <c r="I11" s="38">
        <f t="shared" si="1"/>
        <v>0.83333333333333337</v>
      </c>
      <c r="J11" s="38">
        <f t="shared" si="2"/>
        <v>0.69444444444444453</v>
      </c>
      <c r="K11" s="38">
        <f>MAX(L10)</f>
        <v>11.5</v>
      </c>
      <c r="L11" s="38">
        <f t="shared" si="3"/>
        <v>17.666666666666668</v>
      </c>
      <c r="M11" s="38">
        <f t="shared" si="4"/>
        <v>11.499999999999989</v>
      </c>
      <c r="N11" s="38">
        <f>MIN(M12,M13,M20)</f>
        <v>17.666666666666657</v>
      </c>
      <c r="O11" s="38">
        <f t="shared" si="5"/>
        <v>0</v>
      </c>
      <c r="P11" s="28" t="str">
        <f t="shared" si="6"/>
        <v>Găng</v>
      </c>
      <c r="Q11" s="39">
        <f t="shared" si="7"/>
        <v>46315</v>
      </c>
      <c r="R11" s="39">
        <f t="shared" si="8"/>
        <v>46323</v>
      </c>
      <c r="S11" s="40">
        <f>37/6</f>
        <v>6.166666666666667</v>
      </c>
      <c r="T11" s="38">
        <f t="shared" si="9"/>
        <v>0</v>
      </c>
    </row>
    <row r="12" spans="1:20" x14ac:dyDescent="0.3">
      <c r="A12" s="28" t="s">
        <v>332</v>
      </c>
      <c r="B12" s="24" t="s">
        <v>333</v>
      </c>
      <c r="C12" s="23" t="s">
        <v>106</v>
      </c>
      <c r="D12" s="23" t="s">
        <v>330</v>
      </c>
      <c r="E12" s="37">
        <v>4</v>
      </c>
      <c r="F12" s="37">
        <v>6</v>
      </c>
      <c r="G12" s="37">
        <v>10</v>
      </c>
      <c r="H12" s="38">
        <f t="shared" si="0"/>
        <v>6.333333333333333</v>
      </c>
      <c r="I12" s="38">
        <f t="shared" si="1"/>
        <v>1</v>
      </c>
      <c r="J12" s="38">
        <f t="shared" si="2"/>
        <v>1</v>
      </c>
      <c r="K12" s="38">
        <f>MAX(L11)</f>
        <v>17.666666666666668</v>
      </c>
      <c r="L12" s="38">
        <f t="shared" si="3"/>
        <v>24</v>
      </c>
      <c r="M12" s="38">
        <f t="shared" si="4"/>
        <v>18.166666666666661</v>
      </c>
      <c r="N12" s="38">
        <f>MIN(M14)</f>
        <v>24.499999999999993</v>
      </c>
      <c r="O12" s="38">
        <f t="shared" si="5"/>
        <v>0.49999999999999289</v>
      </c>
      <c r="P12" s="28" t="str">
        <f t="shared" si="6"/>
        <v/>
      </c>
      <c r="Q12" s="39">
        <f t="shared" si="7"/>
        <v>46323</v>
      </c>
      <c r="R12" s="39">
        <f t="shared" si="8"/>
        <v>46331</v>
      </c>
      <c r="S12" s="40">
        <f>38/6</f>
        <v>6.333333333333333</v>
      </c>
      <c r="T12" s="38">
        <f t="shared" si="9"/>
        <v>0</v>
      </c>
    </row>
    <row r="13" spans="1:20" x14ac:dyDescent="0.3">
      <c r="A13" s="28" t="s">
        <v>334</v>
      </c>
      <c r="B13" s="24" t="s">
        <v>335</v>
      </c>
      <c r="C13" s="23" t="s">
        <v>118</v>
      </c>
      <c r="D13" s="23" t="s">
        <v>330</v>
      </c>
      <c r="E13" s="37">
        <v>5</v>
      </c>
      <c r="F13" s="37">
        <v>8</v>
      </c>
      <c r="G13" s="37">
        <v>12</v>
      </c>
      <c r="H13" s="38">
        <f t="shared" si="0"/>
        <v>8.1666666666666661</v>
      </c>
      <c r="I13" s="38">
        <f t="shared" si="1"/>
        <v>1.1666666666666667</v>
      </c>
      <c r="J13" s="38">
        <f t="shared" si="2"/>
        <v>1.3611111111111114</v>
      </c>
      <c r="K13" s="38">
        <f>MAX(L11)</f>
        <v>17.666666666666668</v>
      </c>
      <c r="L13" s="38">
        <f t="shared" si="3"/>
        <v>25.833333333333336</v>
      </c>
      <c r="M13" s="38">
        <f t="shared" si="4"/>
        <v>17.666666666666657</v>
      </c>
      <c r="N13" s="38">
        <f>MIN(M17)</f>
        <v>25.833333333333325</v>
      </c>
      <c r="O13" s="38">
        <f t="shared" si="5"/>
        <v>0</v>
      </c>
      <c r="P13" s="28" t="str">
        <f t="shared" si="6"/>
        <v>Găng</v>
      </c>
      <c r="Q13" s="39">
        <f t="shared" si="7"/>
        <v>46323</v>
      </c>
      <c r="R13" s="39">
        <f t="shared" si="8"/>
        <v>46335</v>
      </c>
      <c r="S13" s="40">
        <f>49/6</f>
        <v>8.1666666666666661</v>
      </c>
      <c r="T13" s="38">
        <f t="shared" si="9"/>
        <v>0</v>
      </c>
    </row>
    <row r="14" spans="1:20" x14ac:dyDescent="0.3">
      <c r="A14" s="28" t="s">
        <v>336</v>
      </c>
      <c r="B14" s="24" t="s">
        <v>337</v>
      </c>
      <c r="C14" s="23" t="s">
        <v>131</v>
      </c>
      <c r="D14" s="23" t="s">
        <v>332</v>
      </c>
      <c r="E14" s="37">
        <v>3</v>
      </c>
      <c r="F14" s="37">
        <v>5</v>
      </c>
      <c r="G14" s="37">
        <v>8</v>
      </c>
      <c r="H14" s="38">
        <f t="shared" si="0"/>
        <v>5.166666666666667</v>
      </c>
      <c r="I14" s="38">
        <f t="shared" si="1"/>
        <v>0.83333333333333337</v>
      </c>
      <c r="J14" s="38">
        <f t="shared" si="2"/>
        <v>0.69444444444444453</v>
      </c>
      <c r="K14" s="38">
        <f>MAX(L12)</f>
        <v>24</v>
      </c>
      <c r="L14" s="38">
        <f t="shared" si="3"/>
        <v>29.166666666666668</v>
      </c>
      <c r="M14" s="38">
        <f t="shared" si="4"/>
        <v>24.499999999999993</v>
      </c>
      <c r="N14" s="38">
        <f>MIN(M15,M16,M18)</f>
        <v>29.666666666666661</v>
      </c>
      <c r="O14" s="38">
        <f t="shared" si="5"/>
        <v>0.49999999999999289</v>
      </c>
      <c r="P14" s="28" t="str">
        <f t="shared" si="6"/>
        <v/>
      </c>
      <c r="Q14" s="39">
        <f t="shared" si="7"/>
        <v>46332</v>
      </c>
      <c r="R14" s="39">
        <f t="shared" si="8"/>
        <v>46339</v>
      </c>
      <c r="S14" s="40">
        <f>31/6</f>
        <v>5.166666666666667</v>
      </c>
      <c r="T14" s="38">
        <f t="shared" si="9"/>
        <v>0</v>
      </c>
    </row>
    <row r="15" spans="1:20" x14ac:dyDescent="0.3">
      <c r="A15" s="28" t="s">
        <v>338</v>
      </c>
      <c r="B15" s="24" t="s">
        <v>339</v>
      </c>
      <c r="C15" s="23" t="s">
        <v>140</v>
      </c>
      <c r="D15" s="23" t="s">
        <v>336</v>
      </c>
      <c r="E15" s="37">
        <v>14</v>
      </c>
      <c r="F15" s="37">
        <v>18</v>
      </c>
      <c r="G15" s="37">
        <v>26</v>
      </c>
      <c r="H15" s="38">
        <f t="shared" si="0"/>
        <v>18.666666666666668</v>
      </c>
      <c r="I15" s="38">
        <f t="shared" si="1"/>
        <v>2</v>
      </c>
      <c r="J15" s="38">
        <f t="shared" si="2"/>
        <v>4</v>
      </c>
      <c r="K15" s="38">
        <f>MAX(L14)</f>
        <v>29.166666666666668</v>
      </c>
      <c r="L15" s="38">
        <f t="shared" si="3"/>
        <v>47.833333333333336</v>
      </c>
      <c r="M15" s="38">
        <f t="shared" si="4"/>
        <v>29.666666666666661</v>
      </c>
      <c r="N15" s="38">
        <f>MIN(M19)</f>
        <v>48.333333333333329</v>
      </c>
      <c r="O15" s="38">
        <f t="shared" si="5"/>
        <v>0.49999999999999289</v>
      </c>
      <c r="P15" s="28" t="str">
        <f t="shared" si="6"/>
        <v/>
      </c>
      <c r="Q15" s="39">
        <f t="shared" si="7"/>
        <v>46339</v>
      </c>
      <c r="R15" s="39">
        <f t="shared" si="8"/>
        <v>46365</v>
      </c>
      <c r="S15" s="40">
        <f>112/6</f>
        <v>18.666666666666668</v>
      </c>
      <c r="T15" s="38">
        <f t="shared" si="9"/>
        <v>0</v>
      </c>
    </row>
    <row r="16" spans="1:20" ht="26.4" x14ac:dyDescent="0.3">
      <c r="A16" s="28" t="s">
        <v>340</v>
      </c>
      <c r="B16" s="24" t="s">
        <v>341</v>
      </c>
      <c r="C16" s="23" t="s">
        <v>164</v>
      </c>
      <c r="D16" s="23" t="s">
        <v>336</v>
      </c>
      <c r="E16" s="37">
        <v>8</v>
      </c>
      <c r="F16" s="37">
        <v>12</v>
      </c>
      <c r="G16" s="37">
        <v>20</v>
      </c>
      <c r="H16" s="38">
        <f t="shared" si="0"/>
        <v>12.666666666666666</v>
      </c>
      <c r="I16" s="38">
        <f t="shared" si="1"/>
        <v>2</v>
      </c>
      <c r="J16" s="38">
        <f t="shared" si="2"/>
        <v>4</v>
      </c>
      <c r="K16" s="38">
        <f>MAX(L14)</f>
        <v>29.166666666666668</v>
      </c>
      <c r="L16" s="38">
        <f t="shared" si="3"/>
        <v>41.833333333333336</v>
      </c>
      <c r="M16" s="38">
        <f t="shared" si="4"/>
        <v>40.833333333333329</v>
      </c>
      <c r="N16" s="38">
        <f>MIN(M21)</f>
        <v>53.499999999999993</v>
      </c>
      <c r="O16" s="38">
        <f t="shared" si="5"/>
        <v>11.666666666666661</v>
      </c>
      <c r="P16" s="28" t="str">
        <f t="shared" si="6"/>
        <v/>
      </c>
      <c r="Q16" s="39">
        <f t="shared" si="7"/>
        <v>46339</v>
      </c>
      <c r="R16" s="39">
        <f t="shared" si="8"/>
        <v>46357</v>
      </c>
      <c r="S16" s="40">
        <f>76/6</f>
        <v>12.666666666666666</v>
      </c>
      <c r="T16" s="38">
        <f t="shared" si="9"/>
        <v>0</v>
      </c>
    </row>
    <row r="17" spans="1:20" x14ac:dyDescent="0.3">
      <c r="A17" s="28" t="s">
        <v>342</v>
      </c>
      <c r="B17" s="24" t="s">
        <v>343</v>
      </c>
      <c r="C17" s="23" t="s">
        <v>176</v>
      </c>
      <c r="D17" s="23" t="s">
        <v>334</v>
      </c>
      <c r="E17" s="37">
        <v>5</v>
      </c>
      <c r="F17" s="37">
        <v>7</v>
      </c>
      <c r="G17" s="37">
        <v>10</v>
      </c>
      <c r="H17" s="38">
        <f t="shared" si="0"/>
        <v>7.166666666666667</v>
      </c>
      <c r="I17" s="38">
        <f t="shared" si="1"/>
        <v>0.83333333333333337</v>
      </c>
      <c r="J17" s="38">
        <f t="shared" si="2"/>
        <v>0.69444444444444453</v>
      </c>
      <c r="K17" s="38">
        <f>MAX(L13)</f>
        <v>25.833333333333336</v>
      </c>
      <c r="L17" s="38">
        <f t="shared" si="3"/>
        <v>33</v>
      </c>
      <c r="M17" s="38">
        <f t="shared" si="4"/>
        <v>25.833333333333325</v>
      </c>
      <c r="N17" s="38">
        <f>MIN(M18)</f>
        <v>32.999999999999993</v>
      </c>
      <c r="O17" s="38">
        <f t="shared" si="5"/>
        <v>0</v>
      </c>
      <c r="P17" s="28" t="str">
        <f t="shared" si="6"/>
        <v>Găng</v>
      </c>
      <c r="Q17" s="39">
        <f t="shared" si="7"/>
        <v>46335</v>
      </c>
      <c r="R17" s="39">
        <f t="shared" si="8"/>
        <v>46344</v>
      </c>
      <c r="S17" s="40">
        <f>43/6</f>
        <v>7.166666666666667</v>
      </c>
      <c r="T17" s="38">
        <f t="shared" si="9"/>
        <v>0</v>
      </c>
    </row>
    <row r="18" spans="1:20" x14ac:dyDescent="0.3">
      <c r="A18" s="28" t="s">
        <v>344</v>
      </c>
      <c r="B18" s="24" t="s">
        <v>345</v>
      </c>
      <c r="C18" s="23" t="s">
        <v>346</v>
      </c>
      <c r="D18" s="23" t="s">
        <v>347</v>
      </c>
      <c r="E18" s="37">
        <v>15</v>
      </c>
      <c r="F18" s="37">
        <v>20</v>
      </c>
      <c r="G18" s="37">
        <v>28</v>
      </c>
      <c r="H18" s="38">
        <f t="shared" si="0"/>
        <v>20.5</v>
      </c>
      <c r="I18" s="38">
        <f t="shared" si="1"/>
        <v>2.1666666666666665</v>
      </c>
      <c r="J18" s="38">
        <f t="shared" si="2"/>
        <v>4.6944444444444438</v>
      </c>
      <c r="K18" s="38">
        <f>MAX(L17,L14)</f>
        <v>33</v>
      </c>
      <c r="L18" s="38">
        <f t="shared" si="3"/>
        <v>53.5</v>
      </c>
      <c r="M18" s="38">
        <f t="shared" si="4"/>
        <v>32.999999999999993</v>
      </c>
      <c r="N18" s="38">
        <f>MIN(M21)</f>
        <v>53.499999999999993</v>
      </c>
      <c r="O18" s="38">
        <f t="shared" si="5"/>
        <v>0</v>
      </c>
      <c r="P18" s="28" t="str">
        <f t="shared" si="6"/>
        <v>Găng</v>
      </c>
      <c r="Q18" s="39">
        <f t="shared" si="7"/>
        <v>46345</v>
      </c>
      <c r="R18" s="39">
        <f t="shared" si="8"/>
        <v>46373</v>
      </c>
      <c r="S18" s="40">
        <f>123/6</f>
        <v>20.5</v>
      </c>
      <c r="T18" s="38">
        <f t="shared" si="9"/>
        <v>0</v>
      </c>
    </row>
    <row r="19" spans="1:20" x14ac:dyDescent="0.3">
      <c r="A19" s="28" t="s">
        <v>348</v>
      </c>
      <c r="B19" s="24" t="s">
        <v>349</v>
      </c>
      <c r="C19" s="23" t="s">
        <v>158</v>
      </c>
      <c r="D19" s="23" t="s">
        <v>338</v>
      </c>
      <c r="E19" s="37">
        <v>3</v>
      </c>
      <c r="F19" s="37">
        <v>5</v>
      </c>
      <c r="G19" s="37">
        <v>8</v>
      </c>
      <c r="H19" s="38">
        <f t="shared" si="0"/>
        <v>5.166666666666667</v>
      </c>
      <c r="I19" s="38">
        <f t="shared" si="1"/>
        <v>0.83333333333333337</v>
      </c>
      <c r="J19" s="38">
        <f t="shared" si="2"/>
        <v>0.69444444444444453</v>
      </c>
      <c r="K19" s="38">
        <f>MAX(L15)</f>
        <v>47.833333333333336</v>
      </c>
      <c r="L19" s="38">
        <f t="shared" si="3"/>
        <v>53</v>
      </c>
      <c r="M19" s="38">
        <f t="shared" si="4"/>
        <v>48.333333333333329</v>
      </c>
      <c r="N19" s="38">
        <f>MIN(M21)</f>
        <v>53.499999999999993</v>
      </c>
      <c r="O19" s="38">
        <f t="shared" si="5"/>
        <v>0.49999999999999289</v>
      </c>
      <c r="P19" s="28" t="str">
        <f t="shared" si="6"/>
        <v/>
      </c>
      <c r="Q19" s="39">
        <f t="shared" si="7"/>
        <v>46365</v>
      </c>
      <c r="R19" s="39">
        <f t="shared" si="8"/>
        <v>46372</v>
      </c>
      <c r="S19" s="40">
        <f>31/6</f>
        <v>5.166666666666667</v>
      </c>
      <c r="T19" s="38">
        <f t="shared" si="9"/>
        <v>0</v>
      </c>
    </row>
    <row r="20" spans="1:20" x14ac:dyDescent="0.3">
      <c r="A20" s="28" t="s">
        <v>350</v>
      </c>
      <c r="B20" s="24" t="s">
        <v>351</v>
      </c>
      <c r="C20" s="23" t="s">
        <v>213</v>
      </c>
      <c r="D20" s="23" t="s">
        <v>330</v>
      </c>
      <c r="E20" s="37">
        <v>3</v>
      </c>
      <c r="F20" s="37">
        <v>4</v>
      </c>
      <c r="G20" s="37">
        <v>6</v>
      </c>
      <c r="H20" s="38">
        <f t="shared" si="0"/>
        <v>4.166666666666667</v>
      </c>
      <c r="I20" s="38">
        <f t="shared" si="1"/>
        <v>0.5</v>
      </c>
      <c r="J20" s="38">
        <f t="shared" si="2"/>
        <v>0.25</v>
      </c>
      <c r="K20" s="38">
        <f>MAX(L11)</f>
        <v>17.666666666666668</v>
      </c>
      <c r="L20" s="38">
        <f t="shared" si="3"/>
        <v>21.833333333333336</v>
      </c>
      <c r="M20" s="38">
        <f t="shared" si="4"/>
        <v>49.333333333333329</v>
      </c>
      <c r="N20" s="38">
        <f>MIN(M21)</f>
        <v>53.499999999999993</v>
      </c>
      <c r="O20" s="38">
        <f t="shared" si="5"/>
        <v>31.666666666666661</v>
      </c>
      <c r="P20" s="28" t="str">
        <f t="shared" si="6"/>
        <v/>
      </c>
      <c r="Q20" s="39">
        <f t="shared" si="7"/>
        <v>46323</v>
      </c>
      <c r="R20" s="39">
        <f t="shared" si="8"/>
        <v>46329</v>
      </c>
      <c r="S20" s="40">
        <f>25/6</f>
        <v>4.166666666666667</v>
      </c>
      <c r="T20" s="38">
        <f t="shared" si="9"/>
        <v>0</v>
      </c>
    </row>
    <row r="21" spans="1:20" x14ac:dyDescent="0.3">
      <c r="A21" s="28" t="s">
        <v>309</v>
      </c>
      <c r="B21" s="24" t="s">
        <v>352</v>
      </c>
      <c r="C21" s="23" t="s">
        <v>219</v>
      </c>
      <c r="D21" s="23" t="s">
        <v>353</v>
      </c>
      <c r="E21" s="37">
        <v>8</v>
      </c>
      <c r="F21" s="37">
        <v>12</v>
      </c>
      <c r="G21" s="37">
        <v>18</v>
      </c>
      <c r="H21" s="38">
        <f t="shared" si="0"/>
        <v>12.333333333333334</v>
      </c>
      <c r="I21" s="38">
        <f t="shared" si="1"/>
        <v>1.6666666666666667</v>
      </c>
      <c r="J21" s="38">
        <f t="shared" si="2"/>
        <v>2.7777777777777781</v>
      </c>
      <c r="K21" s="38">
        <f>MAX(L18,L19,L16,L20)</f>
        <v>53.5</v>
      </c>
      <c r="L21" s="38">
        <f t="shared" si="3"/>
        <v>65.833333333333329</v>
      </c>
      <c r="M21" s="38">
        <f t="shared" si="4"/>
        <v>53.499999999999993</v>
      </c>
      <c r="N21" s="38">
        <f>MIN(M22)</f>
        <v>65.833333333333329</v>
      </c>
      <c r="O21" s="38">
        <f t="shared" si="5"/>
        <v>0</v>
      </c>
      <c r="P21" s="28" t="str">
        <f t="shared" si="6"/>
        <v>Găng</v>
      </c>
      <c r="Q21" s="39">
        <f t="shared" si="7"/>
        <v>46373</v>
      </c>
      <c r="R21" s="39">
        <f t="shared" si="8"/>
        <v>46391</v>
      </c>
      <c r="S21" s="40">
        <f>74/6</f>
        <v>12.333333333333334</v>
      </c>
      <c r="T21" s="38">
        <f t="shared" si="9"/>
        <v>0</v>
      </c>
    </row>
    <row r="22" spans="1:20" x14ac:dyDescent="0.3">
      <c r="A22" s="28" t="s">
        <v>354</v>
      </c>
      <c r="B22" s="24" t="s">
        <v>355</v>
      </c>
      <c r="C22" s="23" t="s">
        <v>234</v>
      </c>
      <c r="D22" s="23" t="s">
        <v>309</v>
      </c>
      <c r="E22" s="37">
        <v>3</v>
      </c>
      <c r="F22" s="37">
        <v>5</v>
      </c>
      <c r="G22" s="37">
        <v>8</v>
      </c>
      <c r="H22" s="38">
        <f t="shared" si="0"/>
        <v>5.166666666666667</v>
      </c>
      <c r="I22" s="38">
        <f t="shared" si="1"/>
        <v>0.83333333333333337</v>
      </c>
      <c r="J22" s="38">
        <f t="shared" si="2"/>
        <v>0.69444444444444453</v>
      </c>
      <c r="K22" s="38">
        <f>MAX(L21)</f>
        <v>65.833333333333329</v>
      </c>
      <c r="L22" s="38">
        <f t="shared" si="3"/>
        <v>71</v>
      </c>
      <c r="M22" s="38">
        <f t="shared" si="4"/>
        <v>65.833333333333329</v>
      </c>
      <c r="N22" s="38">
        <f>MIN(M23)</f>
        <v>71</v>
      </c>
      <c r="O22" s="38">
        <f t="shared" si="5"/>
        <v>0</v>
      </c>
      <c r="P22" s="28" t="str">
        <f t="shared" si="6"/>
        <v>Găng</v>
      </c>
      <c r="Q22" s="39">
        <f t="shared" si="7"/>
        <v>46391</v>
      </c>
      <c r="R22" s="39">
        <f t="shared" si="8"/>
        <v>46398</v>
      </c>
      <c r="S22" s="40">
        <f>31/6</f>
        <v>5.166666666666667</v>
      </c>
      <c r="T22" s="38">
        <f t="shared" si="9"/>
        <v>0</v>
      </c>
    </row>
    <row r="23" spans="1:20" x14ac:dyDescent="0.3">
      <c r="A23" s="28" t="s">
        <v>308</v>
      </c>
      <c r="B23" s="24" t="s">
        <v>356</v>
      </c>
      <c r="C23" s="23" t="s">
        <v>357</v>
      </c>
      <c r="D23" s="23" t="s">
        <v>354</v>
      </c>
      <c r="E23" s="37">
        <v>3</v>
      </c>
      <c r="F23" s="37">
        <v>4</v>
      </c>
      <c r="G23" s="37">
        <v>7</v>
      </c>
      <c r="H23" s="38">
        <f t="shared" si="0"/>
        <v>4.333333333333333</v>
      </c>
      <c r="I23" s="38">
        <f t="shared" si="1"/>
        <v>0.66666666666666663</v>
      </c>
      <c r="J23" s="38">
        <f t="shared" si="2"/>
        <v>0.44444444444444442</v>
      </c>
      <c r="K23" s="38">
        <f>MAX(L22)</f>
        <v>71</v>
      </c>
      <c r="L23" s="38">
        <f t="shared" si="3"/>
        <v>75.333333333333329</v>
      </c>
      <c r="M23" s="38">
        <f t="shared" si="4"/>
        <v>71</v>
      </c>
      <c r="N23" s="38">
        <f>$C$26</f>
        <v>75.333333333333329</v>
      </c>
      <c r="O23" s="38">
        <f t="shared" si="5"/>
        <v>0</v>
      </c>
      <c r="P23" s="28" t="str">
        <f t="shared" si="6"/>
        <v>Găng</v>
      </c>
      <c r="Q23" s="39">
        <f t="shared" si="7"/>
        <v>46399</v>
      </c>
      <c r="R23" s="39">
        <f t="shared" si="8"/>
        <v>46405</v>
      </c>
      <c r="S23" s="40">
        <f>26/6</f>
        <v>4.333333333333333</v>
      </c>
      <c r="T23" s="38">
        <f t="shared" si="9"/>
        <v>0</v>
      </c>
    </row>
    <row r="25" spans="1:20" ht="17.399999999999999" x14ac:dyDescent="0.3">
      <c r="A25" s="1" t="s">
        <v>358</v>
      </c>
    </row>
    <row r="26" spans="1:20" x14ac:dyDescent="0.3">
      <c r="A26" s="60" t="s">
        <v>359</v>
      </c>
      <c r="B26" s="63"/>
      <c r="C26" s="41">
        <f>MAX(L9:L23)</f>
        <v>75.333333333333329</v>
      </c>
    </row>
    <row r="27" spans="1:20" x14ac:dyDescent="0.3">
      <c r="A27" s="60" t="s">
        <v>360</v>
      </c>
      <c r="B27" s="63"/>
      <c r="C27" s="60" t="str">
        <f>LEFT(IF(P9="Găng","A → ","")&amp;IF(P10="Găng","B → ","")&amp;IF(P11="Găng","C → ","")&amp;IF(P12="Găng","D → ","")&amp;IF(P13="Găng","E → ","")&amp;IF(P14="Găng","F → ","")&amp;IF(P15="Găng","G → ","")&amp;IF(P16="Găng","H → ","")&amp;IF(P17="Găng","I → ","")&amp;IF(P18="Găng","J → ","")&amp;IF(P19="Găng","K → ","")&amp;IF(P20="Găng","L → ","")&amp;IF(P21="Găng","M → ","")&amp;IF(P22="Găng","N → ","")&amp;IF(P23="Găng","O → ",""),LEN(IF(P9="Găng","A → ","")&amp;IF(P10="Găng","B → ","")&amp;IF(P11="Găng","C → ","")&amp;IF(P12="Găng","D → ","")&amp;IF(P13="Găng","E → ","")&amp;IF(P14="Găng","F → ","")&amp;IF(P15="Găng","G → ","")&amp;IF(P16="Găng","H → ","")&amp;IF(P17="Găng","I → ","")&amp;IF(P18="Găng","J → ","")&amp;IF(P19="Găng","K → ","")&amp;IF(P20="Găng","L → ","")&amp;IF(P21="Găng","M → ","")&amp;IF(P22="Găng","N → ","")&amp;IF(P23="Găng","O → ",""))-3)</f>
        <v>A → B → C → E → I → J → M → N → O</v>
      </c>
      <c r="D27" s="61"/>
      <c r="E27" s="61"/>
      <c r="F27" s="61"/>
      <c r="G27" s="61"/>
      <c r="H27" s="61"/>
      <c r="I27" s="61"/>
      <c r="J27" s="62"/>
    </row>
    <row r="28" spans="1:20" x14ac:dyDescent="0.3">
      <c r="A28" s="60" t="s">
        <v>361</v>
      </c>
      <c r="B28" s="63"/>
      <c r="C28" s="41">
        <f>SUMIF(P9:P23,"Găng",J9:J23)</f>
        <v>13.055555555555557</v>
      </c>
    </row>
    <row r="29" spans="1:20" x14ac:dyDescent="0.3">
      <c r="A29" s="60" t="s">
        <v>362</v>
      </c>
      <c r="B29" s="63"/>
      <c r="C29" s="41">
        <f>SQRT(C28)</f>
        <v>3.6132472314464668</v>
      </c>
    </row>
    <row r="30" spans="1:20" x14ac:dyDescent="0.3">
      <c r="A30" s="60" t="s">
        <v>363</v>
      </c>
      <c r="B30" s="63"/>
      <c r="C30" s="29">
        <f>C5</f>
        <v>64</v>
      </c>
    </row>
    <row r="31" spans="1:20" x14ac:dyDescent="0.3">
      <c r="A31" s="60" t="s">
        <v>364</v>
      </c>
      <c r="B31" s="63"/>
      <c r="C31" s="41">
        <f>C26-C30</f>
        <v>11.333333333333329</v>
      </c>
    </row>
    <row r="32" spans="1:20" x14ac:dyDescent="0.3">
      <c r="A32" s="60" t="s">
        <v>365</v>
      </c>
      <c r="B32" s="63"/>
      <c r="C32" s="41">
        <f>(C30-C26)/C29</f>
        <v>-3.1366061072982077</v>
      </c>
    </row>
    <row r="33" spans="1:3" x14ac:dyDescent="0.3">
      <c r="A33" s="60" t="s">
        <v>366</v>
      </c>
      <c r="B33" s="63"/>
      <c r="C33" s="42">
        <f>NORMSDIST(C32)</f>
        <v>8.5457789242917941E-4</v>
      </c>
    </row>
    <row r="34" spans="1:3" x14ac:dyDescent="0.3">
      <c r="A34" s="60" t="s">
        <v>367</v>
      </c>
      <c r="B34" s="63"/>
      <c r="C34" s="43">
        <f>WORKDAY(C3,ROUNDUP(C26,0)-1)</f>
        <v>46405</v>
      </c>
    </row>
    <row r="35" spans="1:3" x14ac:dyDescent="0.3">
      <c r="A35" s="60" t="s">
        <v>298</v>
      </c>
      <c r="B35" s="63"/>
      <c r="C35" s="26" t="str">
        <f>IF(C31&lt;=0,"Kịp hạn chót","TRỄ HẠN – cần nén lịch (crashing / fast-tracking)")</f>
        <v>TRỄ HẠN – cần nén lịch (crashing / fast-tracking)</v>
      </c>
    </row>
  </sheetData>
  <mergeCells count="11">
    <mergeCell ref="A26:B26"/>
    <mergeCell ref="A30:B30"/>
    <mergeCell ref="A29:B29"/>
    <mergeCell ref="A33:B33"/>
    <mergeCell ref="A28:B28"/>
    <mergeCell ref="A32:B32"/>
    <mergeCell ref="C27:J27"/>
    <mergeCell ref="A27:B27"/>
    <mergeCell ref="A31:B31"/>
    <mergeCell ref="A34:B34"/>
    <mergeCell ref="A35:B35"/>
  </mergeCells>
  <conditionalFormatting sqref="A9:P23">
    <cfRule type="expression" dxfId="8" priority="1">
      <formula>$P9="Găng"</formula>
    </cfRule>
  </conditionalFormatting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L20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5" customWidth="1"/>
    <col min="2" max="2" width="46" customWidth="1"/>
    <col min="3" max="4" width="6" customWidth="1"/>
    <col min="5" max="5" width="7" customWidth="1"/>
    <col min="6" max="90" width="2.5546875" customWidth="1"/>
  </cols>
  <sheetData>
    <row r="1" spans="1:90" ht="17.399999999999999" x14ac:dyDescent="0.3">
      <c r="A1" s="1" t="s">
        <v>368</v>
      </c>
    </row>
    <row r="2" spans="1:90" x14ac:dyDescent="0.3">
      <c r="A2" s="2" t="s">
        <v>369</v>
      </c>
    </row>
    <row r="4" spans="1:90" ht="34.049999999999997" customHeight="1" x14ac:dyDescent="0.3">
      <c r="F4" s="44">
        <f>WORKDAY(PERT!$C$3,0)</f>
        <v>46300</v>
      </c>
      <c r="G4" s="44">
        <f>WORKDAY(PERT!$C$3,1)</f>
        <v>46301</v>
      </c>
      <c r="H4" s="44">
        <f>WORKDAY(PERT!$C$3,2)</f>
        <v>46302</v>
      </c>
      <c r="I4" s="44">
        <f>WORKDAY(PERT!$C$3,3)</f>
        <v>46303</v>
      </c>
      <c r="J4" s="44">
        <f>WORKDAY(PERT!$C$3,4)</f>
        <v>46304</v>
      </c>
      <c r="K4" s="44">
        <f>WORKDAY(PERT!$C$3,5)</f>
        <v>46307</v>
      </c>
      <c r="L4" s="44">
        <f>WORKDAY(PERT!$C$3,6)</f>
        <v>46308</v>
      </c>
      <c r="M4" s="44">
        <f>WORKDAY(PERT!$C$3,7)</f>
        <v>46309</v>
      </c>
      <c r="N4" s="44">
        <f>WORKDAY(PERT!$C$3,8)</f>
        <v>46310</v>
      </c>
      <c r="O4" s="44">
        <f>WORKDAY(PERT!$C$3,9)</f>
        <v>46311</v>
      </c>
      <c r="P4" s="44">
        <f>WORKDAY(PERT!$C$3,10)</f>
        <v>46314</v>
      </c>
      <c r="Q4" s="44">
        <f>WORKDAY(PERT!$C$3,11)</f>
        <v>46315</v>
      </c>
      <c r="R4" s="44">
        <f>WORKDAY(PERT!$C$3,12)</f>
        <v>46316</v>
      </c>
      <c r="S4" s="44">
        <f>WORKDAY(PERT!$C$3,13)</f>
        <v>46317</v>
      </c>
      <c r="T4" s="44">
        <f>WORKDAY(PERT!$C$3,14)</f>
        <v>46318</v>
      </c>
      <c r="U4" s="44">
        <f>WORKDAY(PERT!$C$3,15)</f>
        <v>46321</v>
      </c>
      <c r="V4" s="44">
        <f>WORKDAY(PERT!$C$3,16)</f>
        <v>46322</v>
      </c>
      <c r="W4" s="44">
        <f>WORKDAY(PERT!$C$3,17)</f>
        <v>46323</v>
      </c>
      <c r="X4" s="44">
        <f>WORKDAY(PERT!$C$3,18)</f>
        <v>46324</v>
      </c>
      <c r="Y4" s="44">
        <f>WORKDAY(PERT!$C$3,19)</f>
        <v>46325</v>
      </c>
      <c r="Z4" s="44">
        <f>WORKDAY(PERT!$C$3,20)</f>
        <v>46328</v>
      </c>
      <c r="AA4" s="44">
        <f>WORKDAY(PERT!$C$3,21)</f>
        <v>46329</v>
      </c>
      <c r="AB4" s="44">
        <f>WORKDAY(PERT!$C$3,22)</f>
        <v>46330</v>
      </c>
      <c r="AC4" s="44">
        <f>WORKDAY(PERT!$C$3,23)</f>
        <v>46331</v>
      </c>
      <c r="AD4" s="44">
        <f>WORKDAY(PERT!$C$3,24)</f>
        <v>46332</v>
      </c>
      <c r="AE4" s="44">
        <f>WORKDAY(PERT!$C$3,25)</f>
        <v>46335</v>
      </c>
      <c r="AF4" s="44">
        <f>WORKDAY(PERT!$C$3,26)</f>
        <v>46336</v>
      </c>
      <c r="AG4" s="44">
        <f>WORKDAY(PERT!$C$3,27)</f>
        <v>46337</v>
      </c>
      <c r="AH4" s="44">
        <f>WORKDAY(PERT!$C$3,28)</f>
        <v>46338</v>
      </c>
      <c r="AI4" s="44">
        <f>WORKDAY(PERT!$C$3,29)</f>
        <v>46339</v>
      </c>
      <c r="AJ4" s="44">
        <f>WORKDAY(PERT!$C$3,30)</f>
        <v>46342</v>
      </c>
      <c r="AK4" s="44">
        <f>WORKDAY(PERT!$C$3,31)</f>
        <v>46343</v>
      </c>
      <c r="AL4" s="44">
        <f>WORKDAY(PERT!$C$3,32)</f>
        <v>46344</v>
      </c>
      <c r="AM4" s="44">
        <f>WORKDAY(PERT!$C$3,33)</f>
        <v>46345</v>
      </c>
      <c r="AN4" s="44">
        <f>WORKDAY(PERT!$C$3,34)</f>
        <v>46346</v>
      </c>
      <c r="AO4" s="44">
        <f>WORKDAY(PERT!$C$3,35)</f>
        <v>46349</v>
      </c>
      <c r="AP4" s="44">
        <f>WORKDAY(PERT!$C$3,36)</f>
        <v>46350</v>
      </c>
      <c r="AQ4" s="44">
        <f>WORKDAY(PERT!$C$3,37)</f>
        <v>46351</v>
      </c>
      <c r="AR4" s="44">
        <f>WORKDAY(PERT!$C$3,38)</f>
        <v>46352</v>
      </c>
      <c r="AS4" s="44">
        <f>WORKDAY(PERT!$C$3,39)</f>
        <v>46353</v>
      </c>
      <c r="AT4" s="44">
        <f>WORKDAY(PERT!$C$3,40)</f>
        <v>46356</v>
      </c>
      <c r="AU4" s="44">
        <f>WORKDAY(PERT!$C$3,41)</f>
        <v>46357</v>
      </c>
      <c r="AV4" s="44">
        <f>WORKDAY(PERT!$C$3,42)</f>
        <v>46358</v>
      </c>
      <c r="AW4" s="44">
        <f>WORKDAY(PERT!$C$3,43)</f>
        <v>46359</v>
      </c>
      <c r="AX4" s="44">
        <f>WORKDAY(PERT!$C$3,44)</f>
        <v>46360</v>
      </c>
      <c r="AY4" s="44">
        <f>WORKDAY(PERT!$C$3,45)</f>
        <v>46363</v>
      </c>
      <c r="AZ4" s="44">
        <f>WORKDAY(PERT!$C$3,46)</f>
        <v>46364</v>
      </c>
      <c r="BA4" s="44">
        <f>WORKDAY(PERT!$C$3,47)</f>
        <v>46365</v>
      </c>
      <c r="BB4" s="44">
        <f>WORKDAY(PERT!$C$3,48)</f>
        <v>46366</v>
      </c>
      <c r="BC4" s="44">
        <f>WORKDAY(PERT!$C$3,49)</f>
        <v>46367</v>
      </c>
      <c r="BD4" s="44">
        <f>WORKDAY(PERT!$C$3,50)</f>
        <v>46370</v>
      </c>
      <c r="BE4" s="44">
        <f>WORKDAY(PERT!$C$3,51)</f>
        <v>46371</v>
      </c>
      <c r="BF4" s="44">
        <f>WORKDAY(PERT!$C$3,52)</f>
        <v>46372</v>
      </c>
      <c r="BG4" s="44">
        <f>WORKDAY(PERT!$C$3,53)</f>
        <v>46373</v>
      </c>
      <c r="BH4" s="44">
        <f>WORKDAY(PERT!$C$3,54)</f>
        <v>46374</v>
      </c>
      <c r="BI4" s="44">
        <f>WORKDAY(PERT!$C$3,55)</f>
        <v>46377</v>
      </c>
      <c r="BJ4" s="44">
        <f>WORKDAY(PERT!$C$3,56)</f>
        <v>46378</v>
      </c>
      <c r="BK4" s="44">
        <f>WORKDAY(PERT!$C$3,57)</f>
        <v>46379</v>
      </c>
      <c r="BL4" s="44">
        <f>WORKDAY(PERT!$C$3,58)</f>
        <v>46380</v>
      </c>
      <c r="BM4" s="44">
        <f>WORKDAY(PERT!$C$3,59)</f>
        <v>46381</v>
      </c>
      <c r="BN4" s="44">
        <f>WORKDAY(PERT!$C$3,60)</f>
        <v>46384</v>
      </c>
      <c r="BO4" s="44">
        <f>WORKDAY(PERT!$C$3,61)</f>
        <v>46385</v>
      </c>
      <c r="BP4" s="44">
        <f>WORKDAY(PERT!$C$3,62)</f>
        <v>46386</v>
      </c>
      <c r="BQ4" s="44">
        <f>WORKDAY(PERT!$C$3,63)</f>
        <v>46387</v>
      </c>
      <c r="BR4" s="44">
        <f>WORKDAY(PERT!$C$3,64)</f>
        <v>46388</v>
      </c>
      <c r="BS4" s="44">
        <f>WORKDAY(PERT!$C$3,65)</f>
        <v>46391</v>
      </c>
      <c r="BT4" s="44">
        <f>WORKDAY(PERT!$C$3,66)</f>
        <v>46392</v>
      </c>
      <c r="BU4" s="44">
        <f>WORKDAY(PERT!$C$3,67)</f>
        <v>46393</v>
      </c>
      <c r="BV4" s="44">
        <f>WORKDAY(PERT!$C$3,68)</f>
        <v>46394</v>
      </c>
      <c r="BW4" s="44">
        <f>WORKDAY(PERT!$C$3,69)</f>
        <v>46395</v>
      </c>
      <c r="BX4" s="44">
        <f>WORKDAY(PERT!$C$3,70)</f>
        <v>46398</v>
      </c>
      <c r="BY4" s="44">
        <f>WORKDAY(PERT!$C$3,71)</f>
        <v>46399</v>
      </c>
      <c r="BZ4" s="44">
        <f>WORKDAY(PERT!$C$3,72)</f>
        <v>46400</v>
      </c>
      <c r="CA4" s="44">
        <f>WORKDAY(PERT!$C$3,73)</f>
        <v>46401</v>
      </c>
      <c r="CB4" s="44">
        <f>WORKDAY(PERT!$C$3,74)</f>
        <v>46402</v>
      </c>
      <c r="CC4" s="44">
        <f>WORKDAY(PERT!$C$3,75)</f>
        <v>46405</v>
      </c>
      <c r="CD4" s="44">
        <f>WORKDAY(PERT!$C$3,76)</f>
        <v>46406</v>
      </c>
      <c r="CE4" s="44">
        <f>WORKDAY(PERT!$C$3,77)</f>
        <v>46407</v>
      </c>
      <c r="CF4" s="44">
        <f>WORKDAY(PERT!$C$3,78)</f>
        <v>46408</v>
      </c>
      <c r="CG4" s="44">
        <f>WORKDAY(PERT!$C$3,79)</f>
        <v>46409</v>
      </c>
      <c r="CH4" s="44">
        <f>WORKDAY(PERT!$C$3,80)</f>
        <v>46412</v>
      </c>
      <c r="CI4" s="44">
        <f>WORKDAY(PERT!$C$3,81)</f>
        <v>46413</v>
      </c>
      <c r="CJ4" s="44">
        <f>WORKDAY(PERT!$C$3,82)</f>
        <v>46414</v>
      </c>
      <c r="CK4" s="44">
        <f>WORKDAY(PERT!$C$3,83)</f>
        <v>46415</v>
      </c>
      <c r="CL4" s="44">
        <f>WORKDAY(PERT!$C$3,84)</f>
        <v>46416</v>
      </c>
    </row>
    <row r="5" spans="1:90" x14ac:dyDescent="0.3">
      <c r="A5" s="7" t="s">
        <v>304</v>
      </c>
      <c r="B5" s="7" t="s">
        <v>305</v>
      </c>
      <c r="C5" s="7" t="s">
        <v>314</v>
      </c>
      <c r="D5" s="7" t="s">
        <v>315</v>
      </c>
      <c r="E5" s="7" t="s">
        <v>319</v>
      </c>
      <c r="F5" s="45">
        <v>1</v>
      </c>
      <c r="G5" s="45">
        <v>2</v>
      </c>
      <c r="H5" s="45">
        <v>3</v>
      </c>
      <c r="I5" s="45">
        <v>4</v>
      </c>
      <c r="J5" s="45">
        <v>5</v>
      </c>
      <c r="K5" s="45">
        <v>6</v>
      </c>
      <c r="L5" s="45">
        <v>7</v>
      </c>
      <c r="M5" s="45">
        <v>8</v>
      </c>
      <c r="N5" s="45">
        <v>9</v>
      </c>
      <c r="O5" s="45">
        <v>10</v>
      </c>
      <c r="P5" s="45">
        <v>11</v>
      </c>
      <c r="Q5" s="45">
        <v>12</v>
      </c>
      <c r="R5" s="45">
        <v>13</v>
      </c>
      <c r="S5" s="45">
        <v>14</v>
      </c>
      <c r="T5" s="45">
        <v>15</v>
      </c>
      <c r="U5" s="45">
        <v>16</v>
      </c>
      <c r="V5" s="45">
        <v>17</v>
      </c>
      <c r="W5" s="45">
        <v>18</v>
      </c>
      <c r="X5" s="45">
        <v>19</v>
      </c>
      <c r="Y5" s="45">
        <v>20</v>
      </c>
      <c r="Z5" s="45">
        <v>21</v>
      </c>
      <c r="AA5" s="45">
        <v>22</v>
      </c>
      <c r="AB5" s="45">
        <v>23</v>
      </c>
      <c r="AC5" s="45">
        <v>24</v>
      </c>
      <c r="AD5" s="45">
        <v>25</v>
      </c>
      <c r="AE5" s="45">
        <v>26</v>
      </c>
      <c r="AF5" s="45">
        <v>27</v>
      </c>
      <c r="AG5" s="45">
        <v>28</v>
      </c>
      <c r="AH5" s="45">
        <v>29</v>
      </c>
      <c r="AI5" s="45">
        <v>30</v>
      </c>
      <c r="AJ5" s="45">
        <v>31</v>
      </c>
      <c r="AK5" s="45">
        <v>32</v>
      </c>
      <c r="AL5" s="45">
        <v>33</v>
      </c>
      <c r="AM5" s="45">
        <v>34</v>
      </c>
      <c r="AN5" s="45">
        <v>35</v>
      </c>
      <c r="AO5" s="45">
        <v>36</v>
      </c>
      <c r="AP5" s="45">
        <v>37</v>
      </c>
      <c r="AQ5" s="45">
        <v>38</v>
      </c>
      <c r="AR5" s="45">
        <v>39</v>
      </c>
      <c r="AS5" s="45">
        <v>40</v>
      </c>
      <c r="AT5" s="45">
        <v>41</v>
      </c>
      <c r="AU5" s="45">
        <v>42</v>
      </c>
      <c r="AV5" s="45">
        <v>43</v>
      </c>
      <c r="AW5" s="45">
        <v>44</v>
      </c>
      <c r="AX5" s="45">
        <v>45</v>
      </c>
      <c r="AY5" s="45">
        <v>46</v>
      </c>
      <c r="AZ5" s="45">
        <v>47</v>
      </c>
      <c r="BA5" s="45">
        <v>48</v>
      </c>
      <c r="BB5" s="45">
        <v>49</v>
      </c>
      <c r="BC5" s="45">
        <v>50</v>
      </c>
      <c r="BD5" s="45">
        <v>51</v>
      </c>
      <c r="BE5" s="45">
        <v>52</v>
      </c>
      <c r="BF5" s="45">
        <v>53</v>
      </c>
      <c r="BG5" s="45">
        <v>54</v>
      </c>
      <c r="BH5" s="45">
        <v>55</v>
      </c>
      <c r="BI5" s="45">
        <v>56</v>
      </c>
      <c r="BJ5" s="45">
        <v>57</v>
      </c>
      <c r="BK5" s="45">
        <v>58</v>
      </c>
      <c r="BL5" s="45">
        <v>59</v>
      </c>
      <c r="BM5" s="45">
        <v>60</v>
      </c>
      <c r="BN5" s="45">
        <v>61</v>
      </c>
      <c r="BO5" s="45">
        <v>62</v>
      </c>
      <c r="BP5" s="45">
        <v>63</v>
      </c>
      <c r="BQ5" s="45">
        <v>64</v>
      </c>
      <c r="BR5" s="45">
        <v>65</v>
      </c>
      <c r="BS5" s="45">
        <v>66</v>
      </c>
      <c r="BT5" s="45">
        <v>67</v>
      </c>
      <c r="BU5" s="45">
        <v>68</v>
      </c>
      <c r="BV5" s="45">
        <v>69</v>
      </c>
      <c r="BW5" s="45">
        <v>70</v>
      </c>
      <c r="BX5" s="45">
        <v>71</v>
      </c>
      <c r="BY5" s="45">
        <v>72</v>
      </c>
      <c r="BZ5" s="45">
        <v>73</v>
      </c>
      <c r="CA5" s="45">
        <v>74</v>
      </c>
      <c r="CB5" s="45">
        <v>75</v>
      </c>
      <c r="CC5" s="45">
        <v>76</v>
      </c>
      <c r="CD5" s="45">
        <v>77</v>
      </c>
      <c r="CE5" s="45">
        <v>78</v>
      </c>
      <c r="CF5" s="45">
        <v>79</v>
      </c>
      <c r="CG5" s="45">
        <v>80</v>
      </c>
      <c r="CH5" s="45">
        <v>81</v>
      </c>
      <c r="CI5" s="45">
        <v>82</v>
      </c>
      <c r="CJ5" s="45">
        <v>83</v>
      </c>
      <c r="CK5" s="45">
        <v>84</v>
      </c>
      <c r="CL5" s="45">
        <v>85</v>
      </c>
    </row>
    <row r="6" spans="1:90" x14ac:dyDescent="0.3">
      <c r="A6" s="28" t="str">
        <f>PERT!A9</f>
        <v>A</v>
      </c>
      <c r="B6" s="22" t="str">
        <f>PERT!B9</f>
        <v>Khởi động và lập kế hoạch (Charter, WBS, lịch)</v>
      </c>
      <c r="C6" s="46">
        <f>PERT!K9</f>
        <v>0</v>
      </c>
      <c r="D6" s="46">
        <f>PERT!L9</f>
        <v>5.166666666666667</v>
      </c>
      <c r="E6" s="28" t="str">
        <f>PERT!P9</f>
        <v>Găng</v>
      </c>
      <c r="F6" s="47">
        <f t="shared" ref="F6:O20" si="0">IF(AND(F$5&gt;$C6,F$5-1&lt;$D6),1,"")</f>
        <v>1</v>
      </c>
      <c r="G6" s="47">
        <f t="shared" si="0"/>
        <v>1</v>
      </c>
      <c r="H6" s="47">
        <f t="shared" si="0"/>
        <v>1</v>
      </c>
      <c r="I6" s="47">
        <f t="shared" si="0"/>
        <v>1</v>
      </c>
      <c r="J6" s="47">
        <f t="shared" si="0"/>
        <v>1</v>
      </c>
      <c r="K6" s="47">
        <f t="shared" si="0"/>
        <v>1</v>
      </c>
      <c r="L6" s="47" t="str">
        <f t="shared" si="0"/>
        <v/>
      </c>
      <c r="M6" s="47" t="str">
        <f t="shared" si="0"/>
        <v/>
      </c>
      <c r="N6" s="47" t="str">
        <f t="shared" si="0"/>
        <v/>
      </c>
      <c r="O6" s="47" t="str">
        <f t="shared" si="0"/>
        <v/>
      </c>
      <c r="P6" s="47" t="str">
        <f t="shared" ref="P6:Y20" si="1">IF(AND(P$5&gt;$C6,P$5-1&lt;$D6),1,"")</f>
        <v/>
      </c>
      <c r="Q6" s="47" t="str">
        <f t="shared" si="1"/>
        <v/>
      </c>
      <c r="R6" s="47" t="str">
        <f t="shared" si="1"/>
        <v/>
      </c>
      <c r="S6" s="47" t="str">
        <f t="shared" si="1"/>
        <v/>
      </c>
      <c r="T6" s="47" t="str">
        <f t="shared" si="1"/>
        <v/>
      </c>
      <c r="U6" s="47" t="str">
        <f t="shared" si="1"/>
        <v/>
      </c>
      <c r="V6" s="47" t="str">
        <f t="shared" si="1"/>
        <v/>
      </c>
      <c r="W6" s="47" t="str">
        <f t="shared" si="1"/>
        <v/>
      </c>
      <c r="X6" s="47" t="str">
        <f t="shared" si="1"/>
        <v/>
      </c>
      <c r="Y6" s="47" t="str">
        <f t="shared" si="1"/>
        <v/>
      </c>
      <c r="Z6" s="47" t="str">
        <f t="shared" ref="Z6:AI20" si="2">IF(AND(Z$5&gt;$C6,Z$5-1&lt;$D6),1,"")</f>
        <v/>
      </c>
      <c r="AA6" s="47" t="str">
        <f t="shared" si="2"/>
        <v/>
      </c>
      <c r="AB6" s="47" t="str">
        <f t="shared" si="2"/>
        <v/>
      </c>
      <c r="AC6" s="47" t="str">
        <f t="shared" si="2"/>
        <v/>
      </c>
      <c r="AD6" s="47" t="str">
        <f t="shared" si="2"/>
        <v/>
      </c>
      <c r="AE6" s="47" t="str">
        <f t="shared" si="2"/>
        <v/>
      </c>
      <c r="AF6" s="47" t="str">
        <f t="shared" si="2"/>
        <v/>
      </c>
      <c r="AG6" s="47" t="str">
        <f t="shared" si="2"/>
        <v/>
      </c>
      <c r="AH6" s="47" t="str">
        <f t="shared" si="2"/>
        <v/>
      </c>
      <c r="AI6" s="47" t="str">
        <f t="shared" si="2"/>
        <v/>
      </c>
      <c r="AJ6" s="47" t="str">
        <f t="shared" ref="AJ6:AS20" si="3">IF(AND(AJ$5&gt;$C6,AJ$5-1&lt;$D6),1,"")</f>
        <v/>
      </c>
      <c r="AK6" s="47" t="str">
        <f t="shared" si="3"/>
        <v/>
      </c>
      <c r="AL6" s="47" t="str">
        <f t="shared" si="3"/>
        <v/>
      </c>
      <c r="AM6" s="47" t="str">
        <f t="shared" si="3"/>
        <v/>
      </c>
      <c r="AN6" s="47" t="str">
        <f t="shared" si="3"/>
        <v/>
      </c>
      <c r="AO6" s="47" t="str">
        <f t="shared" si="3"/>
        <v/>
      </c>
      <c r="AP6" s="47" t="str">
        <f t="shared" si="3"/>
        <v/>
      </c>
      <c r="AQ6" s="47" t="str">
        <f t="shared" si="3"/>
        <v/>
      </c>
      <c r="AR6" s="47" t="str">
        <f t="shared" si="3"/>
        <v/>
      </c>
      <c r="AS6" s="47" t="str">
        <f t="shared" si="3"/>
        <v/>
      </c>
      <c r="AT6" s="47" t="str">
        <f t="shared" ref="AT6:BC20" si="4">IF(AND(AT$5&gt;$C6,AT$5-1&lt;$D6),1,"")</f>
        <v/>
      </c>
      <c r="AU6" s="47" t="str">
        <f t="shared" si="4"/>
        <v/>
      </c>
      <c r="AV6" s="47" t="str">
        <f t="shared" si="4"/>
        <v/>
      </c>
      <c r="AW6" s="47" t="str">
        <f t="shared" si="4"/>
        <v/>
      </c>
      <c r="AX6" s="47" t="str">
        <f t="shared" si="4"/>
        <v/>
      </c>
      <c r="AY6" s="47" t="str">
        <f t="shared" si="4"/>
        <v/>
      </c>
      <c r="AZ6" s="47" t="str">
        <f t="shared" si="4"/>
        <v/>
      </c>
      <c r="BA6" s="47" t="str">
        <f t="shared" si="4"/>
        <v/>
      </c>
      <c r="BB6" s="47" t="str">
        <f t="shared" si="4"/>
        <v/>
      </c>
      <c r="BC6" s="47" t="str">
        <f t="shared" si="4"/>
        <v/>
      </c>
      <c r="BD6" s="47" t="str">
        <f t="shared" ref="BD6:BM20" si="5">IF(AND(BD$5&gt;$C6,BD$5-1&lt;$D6),1,"")</f>
        <v/>
      </c>
      <c r="BE6" s="47" t="str">
        <f t="shared" si="5"/>
        <v/>
      </c>
      <c r="BF6" s="47" t="str">
        <f t="shared" si="5"/>
        <v/>
      </c>
      <c r="BG6" s="47" t="str">
        <f t="shared" si="5"/>
        <v/>
      </c>
      <c r="BH6" s="47" t="str">
        <f t="shared" si="5"/>
        <v/>
      </c>
      <c r="BI6" s="47" t="str">
        <f t="shared" si="5"/>
        <v/>
      </c>
      <c r="BJ6" s="47" t="str">
        <f t="shared" si="5"/>
        <v/>
      </c>
      <c r="BK6" s="47" t="str">
        <f t="shared" si="5"/>
        <v/>
      </c>
      <c r="BL6" s="47" t="str">
        <f t="shared" si="5"/>
        <v/>
      </c>
      <c r="BM6" s="47" t="str">
        <f t="shared" si="5"/>
        <v/>
      </c>
      <c r="BN6" s="47" t="str">
        <f t="shared" ref="BN6:BW20" si="6">IF(AND(BN$5&gt;$C6,BN$5-1&lt;$D6),1,"")</f>
        <v/>
      </c>
      <c r="BO6" s="47" t="str">
        <f t="shared" si="6"/>
        <v/>
      </c>
      <c r="BP6" s="47" t="str">
        <f t="shared" si="6"/>
        <v/>
      </c>
      <c r="BQ6" s="47" t="str">
        <f t="shared" si="6"/>
        <v/>
      </c>
      <c r="BR6" s="47" t="str">
        <f t="shared" si="6"/>
        <v/>
      </c>
      <c r="BS6" s="47" t="str">
        <f t="shared" si="6"/>
        <v/>
      </c>
      <c r="BT6" s="47" t="str">
        <f t="shared" si="6"/>
        <v/>
      </c>
      <c r="BU6" s="47" t="str">
        <f t="shared" si="6"/>
        <v/>
      </c>
      <c r="BV6" s="47" t="str">
        <f t="shared" si="6"/>
        <v/>
      </c>
      <c r="BW6" s="47" t="str">
        <f t="shared" si="6"/>
        <v/>
      </c>
      <c r="BX6" s="47" t="str">
        <f t="shared" ref="BX6:CL20" si="7">IF(AND(BX$5&gt;$C6,BX$5-1&lt;$D6),1,"")</f>
        <v/>
      </c>
      <c r="BY6" s="47" t="str">
        <f t="shared" si="7"/>
        <v/>
      </c>
      <c r="BZ6" s="47" t="str">
        <f t="shared" si="7"/>
        <v/>
      </c>
      <c r="CA6" s="47" t="str">
        <f t="shared" si="7"/>
        <v/>
      </c>
      <c r="CB6" s="47" t="str">
        <f t="shared" si="7"/>
        <v/>
      </c>
      <c r="CC6" s="47" t="str">
        <f t="shared" si="7"/>
        <v/>
      </c>
      <c r="CD6" s="47" t="str">
        <f t="shared" si="7"/>
        <v/>
      </c>
      <c r="CE6" s="47" t="str">
        <f t="shared" si="7"/>
        <v/>
      </c>
      <c r="CF6" s="47" t="str">
        <f t="shared" si="7"/>
        <v/>
      </c>
      <c r="CG6" s="47" t="str">
        <f t="shared" si="7"/>
        <v/>
      </c>
      <c r="CH6" s="47" t="str">
        <f t="shared" si="7"/>
        <v/>
      </c>
      <c r="CI6" s="47" t="str">
        <f t="shared" si="7"/>
        <v/>
      </c>
      <c r="CJ6" s="47" t="str">
        <f t="shared" si="7"/>
        <v/>
      </c>
      <c r="CK6" s="47" t="str">
        <f t="shared" si="7"/>
        <v/>
      </c>
      <c r="CL6" s="47" t="str">
        <f t="shared" si="7"/>
        <v/>
      </c>
    </row>
    <row r="7" spans="1:90" x14ac:dyDescent="0.3">
      <c r="A7" s="28" t="str">
        <f>PERT!A10</f>
        <v>B</v>
      </c>
      <c r="B7" s="22" t="str">
        <f>PERT!B10</f>
        <v>Khảo sát nghiệp vụ và dữ liệu hiện có</v>
      </c>
      <c r="C7" s="46">
        <f>PERT!K10</f>
        <v>5.166666666666667</v>
      </c>
      <c r="D7" s="46">
        <f>PERT!L10</f>
        <v>11.5</v>
      </c>
      <c r="E7" s="28" t="str">
        <f>PERT!P10</f>
        <v>Găng</v>
      </c>
      <c r="F7" s="47" t="str">
        <f t="shared" si="0"/>
        <v/>
      </c>
      <c r="G7" s="47" t="str">
        <f t="shared" si="0"/>
        <v/>
      </c>
      <c r="H7" s="47" t="str">
        <f t="shared" si="0"/>
        <v/>
      </c>
      <c r="I7" s="47" t="str">
        <f t="shared" si="0"/>
        <v/>
      </c>
      <c r="J7" s="47" t="str">
        <f t="shared" si="0"/>
        <v/>
      </c>
      <c r="K7" s="47">
        <f t="shared" si="0"/>
        <v>1</v>
      </c>
      <c r="L7" s="47">
        <f t="shared" si="0"/>
        <v>1</v>
      </c>
      <c r="M7" s="47">
        <f t="shared" si="0"/>
        <v>1</v>
      </c>
      <c r="N7" s="47">
        <f t="shared" si="0"/>
        <v>1</v>
      </c>
      <c r="O7" s="47">
        <f t="shared" si="0"/>
        <v>1</v>
      </c>
      <c r="P7" s="47">
        <f t="shared" si="1"/>
        <v>1</v>
      </c>
      <c r="Q7" s="47">
        <f t="shared" si="1"/>
        <v>1</v>
      </c>
      <c r="R7" s="47" t="str">
        <f t="shared" si="1"/>
        <v/>
      </c>
      <c r="S7" s="47" t="str">
        <f t="shared" si="1"/>
        <v/>
      </c>
      <c r="T7" s="47" t="str">
        <f t="shared" si="1"/>
        <v/>
      </c>
      <c r="U7" s="47" t="str">
        <f t="shared" si="1"/>
        <v/>
      </c>
      <c r="V7" s="47" t="str">
        <f t="shared" si="1"/>
        <v/>
      </c>
      <c r="W7" s="47" t="str">
        <f t="shared" si="1"/>
        <v/>
      </c>
      <c r="X7" s="47" t="str">
        <f t="shared" si="1"/>
        <v/>
      </c>
      <c r="Y7" s="47" t="str">
        <f t="shared" si="1"/>
        <v/>
      </c>
      <c r="Z7" s="47" t="str">
        <f t="shared" si="2"/>
        <v/>
      </c>
      <c r="AA7" s="47" t="str">
        <f t="shared" si="2"/>
        <v/>
      </c>
      <c r="AB7" s="47" t="str">
        <f t="shared" si="2"/>
        <v/>
      </c>
      <c r="AC7" s="47" t="str">
        <f t="shared" si="2"/>
        <v/>
      </c>
      <c r="AD7" s="47" t="str">
        <f t="shared" si="2"/>
        <v/>
      </c>
      <c r="AE7" s="47" t="str">
        <f t="shared" si="2"/>
        <v/>
      </c>
      <c r="AF7" s="47" t="str">
        <f t="shared" si="2"/>
        <v/>
      </c>
      <c r="AG7" s="47" t="str">
        <f t="shared" si="2"/>
        <v/>
      </c>
      <c r="AH7" s="47" t="str">
        <f t="shared" si="2"/>
        <v/>
      </c>
      <c r="AI7" s="47" t="str">
        <f t="shared" si="2"/>
        <v/>
      </c>
      <c r="AJ7" s="47" t="str">
        <f t="shared" si="3"/>
        <v/>
      </c>
      <c r="AK7" s="47" t="str">
        <f t="shared" si="3"/>
        <v/>
      </c>
      <c r="AL7" s="47" t="str">
        <f t="shared" si="3"/>
        <v/>
      </c>
      <c r="AM7" s="47" t="str">
        <f t="shared" si="3"/>
        <v/>
      </c>
      <c r="AN7" s="47" t="str">
        <f t="shared" si="3"/>
        <v/>
      </c>
      <c r="AO7" s="47" t="str">
        <f t="shared" si="3"/>
        <v/>
      </c>
      <c r="AP7" s="47" t="str">
        <f t="shared" si="3"/>
        <v/>
      </c>
      <c r="AQ7" s="47" t="str">
        <f t="shared" si="3"/>
        <v/>
      </c>
      <c r="AR7" s="47" t="str">
        <f t="shared" si="3"/>
        <v/>
      </c>
      <c r="AS7" s="47" t="str">
        <f t="shared" si="3"/>
        <v/>
      </c>
      <c r="AT7" s="47" t="str">
        <f t="shared" si="4"/>
        <v/>
      </c>
      <c r="AU7" s="47" t="str">
        <f t="shared" si="4"/>
        <v/>
      </c>
      <c r="AV7" s="47" t="str">
        <f t="shared" si="4"/>
        <v/>
      </c>
      <c r="AW7" s="47" t="str">
        <f t="shared" si="4"/>
        <v/>
      </c>
      <c r="AX7" s="47" t="str">
        <f t="shared" si="4"/>
        <v/>
      </c>
      <c r="AY7" s="47" t="str">
        <f t="shared" si="4"/>
        <v/>
      </c>
      <c r="AZ7" s="47" t="str">
        <f t="shared" si="4"/>
        <v/>
      </c>
      <c r="BA7" s="47" t="str">
        <f t="shared" si="4"/>
        <v/>
      </c>
      <c r="BB7" s="47" t="str">
        <f t="shared" si="4"/>
        <v/>
      </c>
      <c r="BC7" s="47" t="str">
        <f t="shared" si="4"/>
        <v/>
      </c>
      <c r="BD7" s="47" t="str">
        <f t="shared" si="5"/>
        <v/>
      </c>
      <c r="BE7" s="47" t="str">
        <f t="shared" si="5"/>
        <v/>
      </c>
      <c r="BF7" s="47" t="str">
        <f t="shared" si="5"/>
        <v/>
      </c>
      <c r="BG7" s="47" t="str">
        <f t="shared" si="5"/>
        <v/>
      </c>
      <c r="BH7" s="47" t="str">
        <f t="shared" si="5"/>
        <v/>
      </c>
      <c r="BI7" s="47" t="str">
        <f t="shared" si="5"/>
        <v/>
      </c>
      <c r="BJ7" s="47" t="str">
        <f t="shared" si="5"/>
        <v/>
      </c>
      <c r="BK7" s="47" t="str">
        <f t="shared" si="5"/>
        <v/>
      </c>
      <c r="BL7" s="47" t="str">
        <f t="shared" si="5"/>
        <v/>
      </c>
      <c r="BM7" s="47" t="str">
        <f t="shared" si="5"/>
        <v/>
      </c>
      <c r="BN7" s="47" t="str">
        <f t="shared" si="6"/>
        <v/>
      </c>
      <c r="BO7" s="47" t="str">
        <f t="shared" si="6"/>
        <v/>
      </c>
      <c r="BP7" s="47" t="str">
        <f t="shared" si="6"/>
        <v/>
      </c>
      <c r="BQ7" s="47" t="str">
        <f t="shared" si="6"/>
        <v/>
      </c>
      <c r="BR7" s="47" t="str">
        <f t="shared" si="6"/>
        <v/>
      </c>
      <c r="BS7" s="47" t="str">
        <f t="shared" si="6"/>
        <v/>
      </c>
      <c r="BT7" s="47" t="str">
        <f t="shared" si="6"/>
        <v/>
      </c>
      <c r="BU7" s="47" t="str">
        <f t="shared" si="6"/>
        <v/>
      </c>
      <c r="BV7" s="47" t="str">
        <f t="shared" si="6"/>
        <v/>
      </c>
      <c r="BW7" s="47" t="str">
        <f t="shared" si="6"/>
        <v/>
      </c>
      <c r="BX7" s="47" t="str">
        <f t="shared" si="7"/>
        <v/>
      </c>
      <c r="BY7" s="47" t="str">
        <f t="shared" si="7"/>
        <v/>
      </c>
      <c r="BZ7" s="47" t="str">
        <f t="shared" si="7"/>
        <v/>
      </c>
      <c r="CA7" s="47" t="str">
        <f t="shared" si="7"/>
        <v/>
      </c>
      <c r="CB7" s="47" t="str">
        <f t="shared" si="7"/>
        <v/>
      </c>
      <c r="CC7" s="47" t="str">
        <f t="shared" si="7"/>
        <v/>
      </c>
      <c r="CD7" s="47" t="str">
        <f t="shared" si="7"/>
        <v/>
      </c>
      <c r="CE7" s="47" t="str">
        <f t="shared" si="7"/>
        <v/>
      </c>
      <c r="CF7" s="47" t="str">
        <f t="shared" si="7"/>
        <v/>
      </c>
      <c r="CG7" s="47" t="str">
        <f t="shared" si="7"/>
        <v/>
      </c>
      <c r="CH7" s="47" t="str">
        <f t="shared" si="7"/>
        <v/>
      </c>
      <c r="CI7" s="47" t="str">
        <f t="shared" si="7"/>
        <v/>
      </c>
      <c r="CJ7" s="47" t="str">
        <f t="shared" si="7"/>
        <v/>
      </c>
      <c r="CK7" s="47" t="str">
        <f t="shared" si="7"/>
        <v/>
      </c>
      <c r="CL7" s="47" t="str">
        <f t="shared" si="7"/>
        <v/>
      </c>
    </row>
    <row r="8" spans="1:90" x14ac:dyDescent="0.3">
      <c r="A8" s="28" t="str">
        <f>PERT!A11</f>
        <v>C</v>
      </c>
      <c r="B8" s="22" t="str">
        <f>PERT!B11</f>
        <v>Đặc tả yêu cầu (SRS) và phê duyệt</v>
      </c>
      <c r="C8" s="46">
        <f>PERT!K11</f>
        <v>11.5</v>
      </c>
      <c r="D8" s="46">
        <f>PERT!L11</f>
        <v>17.666666666666668</v>
      </c>
      <c r="E8" s="28" t="str">
        <f>PERT!P11</f>
        <v>Găng</v>
      </c>
      <c r="F8" s="47" t="str">
        <f t="shared" si="0"/>
        <v/>
      </c>
      <c r="G8" s="47" t="str">
        <f t="shared" si="0"/>
        <v/>
      </c>
      <c r="H8" s="47" t="str">
        <f t="shared" si="0"/>
        <v/>
      </c>
      <c r="I8" s="47" t="str">
        <f t="shared" si="0"/>
        <v/>
      </c>
      <c r="J8" s="47" t="str">
        <f t="shared" si="0"/>
        <v/>
      </c>
      <c r="K8" s="47" t="str">
        <f t="shared" si="0"/>
        <v/>
      </c>
      <c r="L8" s="47" t="str">
        <f t="shared" si="0"/>
        <v/>
      </c>
      <c r="M8" s="47" t="str">
        <f t="shared" si="0"/>
        <v/>
      </c>
      <c r="N8" s="47" t="str">
        <f t="shared" si="0"/>
        <v/>
      </c>
      <c r="O8" s="47" t="str">
        <f t="shared" si="0"/>
        <v/>
      </c>
      <c r="P8" s="47" t="str">
        <f t="shared" si="1"/>
        <v/>
      </c>
      <c r="Q8" s="47">
        <f t="shared" si="1"/>
        <v>1</v>
      </c>
      <c r="R8" s="47">
        <f t="shared" si="1"/>
        <v>1</v>
      </c>
      <c r="S8" s="47">
        <f t="shared" si="1"/>
        <v>1</v>
      </c>
      <c r="T8" s="47">
        <f t="shared" si="1"/>
        <v>1</v>
      </c>
      <c r="U8" s="47">
        <f t="shared" si="1"/>
        <v>1</v>
      </c>
      <c r="V8" s="47">
        <f t="shared" si="1"/>
        <v>1</v>
      </c>
      <c r="W8" s="47">
        <f t="shared" si="1"/>
        <v>1</v>
      </c>
      <c r="X8" s="47" t="str">
        <f t="shared" si="1"/>
        <v/>
      </c>
      <c r="Y8" s="47" t="str">
        <f t="shared" si="1"/>
        <v/>
      </c>
      <c r="Z8" s="47" t="str">
        <f t="shared" si="2"/>
        <v/>
      </c>
      <c r="AA8" s="47" t="str">
        <f t="shared" si="2"/>
        <v/>
      </c>
      <c r="AB8" s="47" t="str">
        <f t="shared" si="2"/>
        <v/>
      </c>
      <c r="AC8" s="47" t="str">
        <f t="shared" si="2"/>
        <v/>
      </c>
      <c r="AD8" s="47" t="str">
        <f t="shared" si="2"/>
        <v/>
      </c>
      <c r="AE8" s="47" t="str">
        <f t="shared" si="2"/>
        <v/>
      </c>
      <c r="AF8" s="47" t="str">
        <f t="shared" si="2"/>
        <v/>
      </c>
      <c r="AG8" s="47" t="str">
        <f t="shared" si="2"/>
        <v/>
      </c>
      <c r="AH8" s="47" t="str">
        <f t="shared" si="2"/>
        <v/>
      </c>
      <c r="AI8" s="47" t="str">
        <f t="shared" si="2"/>
        <v/>
      </c>
      <c r="AJ8" s="47" t="str">
        <f t="shared" si="3"/>
        <v/>
      </c>
      <c r="AK8" s="47" t="str">
        <f t="shared" si="3"/>
        <v/>
      </c>
      <c r="AL8" s="47" t="str">
        <f t="shared" si="3"/>
        <v/>
      </c>
      <c r="AM8" s="47" t="str">
        <f t="shared" si="3"/>
        <v/>
      </c>
      <c r="AN8" s="47" t="str">
        <f t="shared" si="3"/>
        <v/>
      </c>
      <c r="AO8" s="47" t="str">
        <f t="shared" si="3"/>
        <v/>
      </c>
      <c r="AP8" s="47" t="str">
        <f t="shared" si="3"/>
        <v/>
      </c>
      <c r="AQ8" s="47" t="str">
        <f t="shared" si="3"/>
        <v/>
      </c>
      <c r="AR8" s="47" t="str">
        <f t="shared" si="3"/>
        <v/>
      </c>
      <c r="AS8" s="47" t="str">
        <f t="shared" si="3"/>
        <v/>
      </c>
      <c r="AT8" s="47" t="str">
        <f t="shared" si="4"/>
        <v/>
      </c>
      <c r="AU8" s="47" t="str">
        <f t="shared" si="4"/>
        <v/>
      </c>
      <c r="AV8" s="47" t="str">
        <f t="shared" si="4"/>
        <v/>
      </c>
      <c r="AW8" s="47" t="str">
        <f t="shared" si="4"/>
        <v/>
      </c>
      <c r="AX8" s="47" t="str">
        <f t="shared" si="4"/>
        <v/>
      </c>
      <c r="AY8" s="47" t="str">
        <f t="shared" si="4"/>
        <v/>
      </c>
      <c r="AZ8" s="47" t="str">
        <f t="shared" si="4"/>
        <v/>
      </c>
      <c r="BA8" s="47" t="str">
        <f t="shared" si="4"/>
        <v/>
      </c>
      <c r="BB8" s="47" t="str">
        <f t="shared" si="4"/>
        <v/>
      </c>
      <c r="BC8" s="47" t="str">
        <f t="shared" si="4"/>
        <v/>
      </c>
      <c r="BD8" s="47" t="str">
        <f t="shared" si="5"/>
        <v/>
      </c>
      <c r="BE8" s="47" t="str">
        <f t="shared" si="5"/>
        <v/>
      </c>
      <c r="BF8" s="47" t="str">
        <f t="shared" si="5"/>
        <v/>
      </c>
      <c r="BG8" s="47" t="str">
        <f t="shared" si="5"/>
        <v/>
      </c>
      <c r="BH8" s="47" t="str">
        <f t="shared" si="5"/>
        <v/>
      </c>
      <c r="BI8" s="47" t="str">
        <f t="shared" si="5"/>
        <v/>
      </c>
      <c r="BJ8" s="47" t="str">
        <f t="shared" si="5"/>
        <v/>
      </c>
      <c r="BK8" s="47" t="str">
        <f t="shared" si="5"/>
        <v/>
      </c>
      <c r="BL8" s="47" t="str">
        <f t="shared" si="5"/>
        <v/>
      </c>
      <c r="BM8" s="47" t="str">
        <f t="shared" si="5"/>
        <v/>
      </c>
      <c r="BN8" s="47" t="str">
        <f t="shared" si="6"/>
        <v/>
      </c>
      <c r="BO8" s="47" t="str">
        <f t="shared" si="6"/>
        <v/>
      </c>
      <c r="BP8" s="47" t="str">
        <f t="shared" si="6"/>
        <v/>
      </c>
      <c r="BQ8" s="47" t="str">
        <f t="shared" si="6"/>
        <v/>
      </c>
      <c r="BR8" s="47" t="str">
        <f t="shared" si="6"/>
        <v/>
      </c>
      <c r="BS8" s="47" t="str">
        <f t="shared" si="6"/>
        <v/>
      </c>
      <c r="BT8" s="47" t="str">
        <f t="shared" si="6"/>
        <v/>
      </c>
      <c r="BU8" s="47" t="str">
        <f t="shared" si="6"/>
        <v/>
      </c>
      <c r="BV8" s="47" t="str">
        <f t="shared" si="6"/>
        <v/>
      </c>
      <c r="BW8" s="47" t="str">
        <f t="shared" si="6"/>
        <v/>
      </c>
      <c r="BX8" s="47" t="str">
        <f t="shared" si="7"/>
        <v/>
      </c>
      <c r="BY8" s="47" t="str">
        <f t="shared" si="7"/>
        <v/>
      </c>
      <c r="BZ8" s="47" t="str">
        <f t="shared" si="7"/>
        <v/>
      </c>
      <c r="CA8" s="47" t="str">
        <f t="shared" si="7"/>
        <v/>
      </c>
      <c r="CB8" s="47" t="str">
        <f t="shared" si="7"/>
        <v/>
      </c>
      <c r="CC8" s="47" t="str">
        <f t="shared" si="7"/>
        <v/>
      </c>
      <c r="CD8" s="47" t="str">
        <f t="shared" si="7"/>
        <v/>
      </c>
      <c r="CE8" s="47" t="str">
        <f t="shared" si="7"/>
        <v/>
      </c>
      <c r="CF8" s="47" t="str">
        <f t="shared" si="7"/>
        <v/>
      </c>
      <c r="CG8" s="47" t="str">
        <f t="shared" si="7"/>
        <v/>
      </c>
      <c r="CH8" s="47" t="str">
        <f t="shared" si="7"/>
        <v/>
      </c>
      <c r="CI8" s="47" t="str">
        <f t="shared" si="7"/>
        <v/>
      </c>
      <c r="CJ8" s="47" t="str">
        <f t="shared" si="7"/>
        <v/>
      </c>
      <c r="CK8" s="47" t="str">
        <f t="shared" si="7"/>
        <v/>
      </c>
      <c r="CL8" s="47" t="str">
        <f t="shared" si="7"/>
        <v/>
      </c>
    </row>
    <row r="9" spans="1:90" x14ac:dyDescent="0.3">
      <c r="A9" s="28" t="str">
        <f>PERT!A12</f>
        <v>D</v>
      </c>
      <c r="B9" s="22" t="str">
        <f>PERT!B12</f>
        <v>Thiết kế kiến trúc, CSDL, API</v>
      </c>
      <c r="C9" s="46">
        <f>PERT!K12</f>
        <v>17.666666666666668</v>
      </c>
      <c r="D9" s="46">
        <f>PERT!L12</f>
        <v>24</v>
      </c>
      <c r="E9" s="28" t="str">
        <f>PERT!P12</f>
        <v/>
      </c>
      <c r="F9" s="47" t="str">
        <f t="shared" si="0"/>
        <v/>
      </c>
      <c r="G9" s="47" t="str">
        <f t="shared" si="0"/>
        <v/>
      </c>
      <c r="H9" s="47" t="str">
        <f t="shared" si="0"/>
        <v/>
      </c>
      <c r="I9" s="47" t="str">
        <f t="shared" si="0"/>
        <v/>
      </c>
      <c r="J9" s="47" t="str">
        <f t="shared" si="0"/>
        <v/>
      </c>
      <c r="K9" s="47" t="str">
        <f t="shared" si="0"/>
        <v/>
      </c>
      <c r="L9" s="47" t="str">
        <f t="shared" si="0"/>
        <v/>
      </c>
      <c r="M9" s="47" t="str">
        <f t="shared" si="0"/>
        <v/>
      </c>
      <c r="N9" s="47" t="str">
        <f t="shared" si="0"/>
        <v/>
      </c>
      <c r="O9" s="47" t="str">
        <f t="shared" si="0"/>
        <v/>
      </c>
      <c r="P9" s="47" t="str">
        <f t="shared" si="1"/>
        <v/>
      </c>
      <c r="Q9" s="47" t="str">
        <f t="shared" si="1"/>
        <v/>
      </c>
      <c r="R9" s="47" t="str">
        <f t="shared" si="1"/>
        <v/>
      </c>
      <c r="S9" s="47" t="str">
        <f t="shared" si="1"/>
        <v/>
      </c>
      <c r="T9" s="47" t="str">
        <f t="shared" si="1"/>
        <v/>
      </c>
      <c r="U9" s="47" t="str">
        <f t="shared" si="1"/>
        <v/>
      </c>
      <c r="V9" s="47" t="str">
        <f t="shared" si="1"/>
        <v/>
      </c>
      <c r="W9" s="47">
        <f t="shared" si="1"/>
        <v>1</v>
      </c>
      <c r="X9" s="47">
        <f t="shared" si="1"/>
        <v>1</v>
      </c>
      <c r="Y9" s="47">
        <f t="shared" si="1"/>
        <v>1</v>
      </c>
      <c r="Z9" s="47">
        <f t="shared" si="2"/>
        <v>1</v>
      </c>
      <c r="AA9" s="47">
        <f t="shared" si="2"/>
        <v>1</v>
      </c>
      <c r="AB9" s="47">
        <f t="shared" si="2"/>
        <v>1</v>
      </c>
      <c r="AC9" s="47">
        <f t="shared" si="2"/>
        <v>1</v>
      </c>
      <c r="AD9" s="47" t="str">
        <f t="shared" si="2"/>
        <v/>
      </c>
      <c r="AE9" s="47" t="str">
        <f t="shared" si="2"/>
        <v/>
      </c>
      <c r="AF9" s="47" t="str">
        <f t="shared" si="2"/>
        <v/>
      </c>
      <c r="AG9" s="47" t="str">
        <f t="shared" si="2"/>
        <v/>
      </c>
      <c r="AH9" s="47" t="str">
        <f t="shared" si="2"/>
        <v/>
      </c>
      <c r="AI9" s="47" t="str">
        <f t="shared" si="2"/>
        <v/>
      </c>
      <c r="AJ9" s="47" t="str">
        <f t="shared" si="3"/>
        <v/>
      </c>
      <c r="AK9" s="47" t="str">
        <f t="shared" si="3"/>
        <v/>
      </c>
      <c r="AL9" s="47" t="str">
        <f t="shared" si="3"/>
        <v/>
      </c>
      <c r="AM9" s="47" t="str">
        <f t="shared" si="3"/>
        <v/>
      </c>
      <c r="AN9" s="47" t="str">
        <f t="shared" si="3"/>
        <v/>
      </c>
      <c r="AO9" s="47" t="str">
        <f t="shared" si="3"/>
        <v/>
      </c>
      <c r="AP9" s="47" t="str">
        <f t="shared" si="3"/>
        <v/>
      </c>
      <c r="AQ9" s="47" t="str">
        <f t="shared" si="3"/>
        <v/>
      </c>
      <c r="AR9" s="47" t="str">
        <f t="shared" si="3"/>
        <v/>
      </c>
      <c r="AS9" s="47" t="str">
        <f t="shared" si="3"/>
        <v/>
      </c>
      <c r="AT9" s="47" t="str">
        <f t="shared" si="4"/>
        <v/>
      </c>
      <c r="AU9" s="47" t="str">
        <f t="shared" si="4"/>
        <v/>
      </c>
      <c r="AV9" s="47" t="str">
        <f t="shared" si="4"/>
        <v/>
      </c>
      <c r="AW9" s="47" t="str">
        <f t="shared" si="4"/>
        <v/>
      </c>
      <c r="AX9" s="47" t="str">
        <f t="shared" si="4"/>
        <v/>
      </c>
      <c r="AY9" s="47" t="str">
        <f t="shared" si="4"/>
        <v/>
      </c>
      <c r="AZ9" s="47" t="str">
        <f t="shared" si="4"/>
        <v/>
      </c>
      <c r="BA9" s="47" t="str">
        <f t="shared" si="4"/>
        <v/>
      </c>
      <c r="BB9" s="47" t="str">
        <f t="shared" si="4"/>
        <v/>
      </c>
      <c r="BC9" s="47" t="str">
        <f t="shared" si="4"/>
        <v/>
      </c>
      <c r="BD9" s="47" t="str">
        <f t="shared" si="5"/>
        <v/>
      </c>
      <c r="BE9" s="47" t="str">
        <f t="shared" si="5"/>
        <v/>
      </c>
      <c r="BF9" s="47" t="str">
        <f t="shared" si="5"/>
        <v/>
      </c>
      <c r="BG9" s="47" t="str">
        <f t="shared" si="5"/>
        <v/>
      </c>
      <c r="BH9" s="47" t="str">
        <f t="shared" si="5"/>
        <v/>
      </c>
      <c r="BI9" s="47" t="str">
        <f t="shared" si="5"/>
        <v/>
      </c>
      <c r="BJ9" s="47" t="str">
        <f t="shared" si="5"/>
        <v/>
      </c>
      <c r="BK9" s="47" t="str">
        <f t="shared" si="5"/>
        <v/>
      </c>
      <c r="BL9" s="47" t="str">
        <f t="shared" si="5"/>
        <v/>
      </c>
      <c r="BM9" s="47" t="str">
        <f t="shared" si="5"/>
        <v/>
      </c>
      <c r="BN9" s="47" t="str">
        <f t="shared" si="6"/>
        <v/>
      </c>
      <c r="BO9" s="47" t="str">
        <f t="shared" si="6"/>
        <v/>
      </c>
      <c r="BP9" s="47" t="str">
        <f t="shared" si="6"/>
        <v/>
      </c>
      <c r="BQ9" s="47" t="str">
        <f t="shared" si="6"/>
        <v/>
      </c>
      <c r="BR9" s="47" t="str">
        <f t="shared" si="6"/>
        <v/>
      </c>
      <c r="BS9" s="47" t="str">
        <f t="shared" si="6"/>
        <v/>
      </c>
      <c r="BT9" s="47" t="str">
        <f t="shared" si="6"/>
        <v/>
      </c>
      <c r="BU9" s="47" t="str">
        <f t="shared" si="6"/>
        <v/>
      </c>
      <c r="BV9" s="47" t="str">
        <f t="shared" si="6"/>
        <v/>
      </c>
      <c r="BW9" s="47" t="str">
        <f t="shared" si="6"/>
        <v/>
      </c>
      <c r="BX9" s="47" t="str">
        <f t="shared" si="7"/>
        <v/>
      </c>
      <c r="BY9" s="47" t="str">
        <f t="shared" si="7"/>
        <v/>
      </c>
      <c r="BZ9" s="47" t="str">
        <f t="shared" si="7"/>
        <v/>
      </c>
      <c r="CA9" s="47" t="str">
        <f t="shared" si="7"/>
        <v/>
      </c>
      <c r="CB9" s="47" t="str">
        <f t="shared" si="7"/>
        <v/>
      </c>
      <c r="CC9" s="47" t="str">
        <f t="shared" si="7"/>
        <v/>
      </c>
      <c r="CD9" s="47" t="str">
        <f t="shared" si="7"/>
        <v/>
      </c>
      <c r="CE9" s="47" t="str">
        <f t="shared" si="7"/>
        <v/>
      </c>
      <c r="CF9" s="47" t="str">
        <f t="shared" si="7"/>
        <v/>
      </c>
      <c r="CG9" s="47" t="str">
        <f t="shared" si="7"/>
        <v/>
      </c>
      <c r="CH9" s="47" t="str">
        <f t="shared" si="7"/>
        <v/>
      </c>
      <c r="CI9" s="47" t="str">
        <f t="shared" si="7"/>
        <v/>
      </c>
      <c r="CJ9" s="47" t="str">
        <f t="shared" si="7"/>
        <v/>
      </c>
      <c r="CK9" s="47" t="str">
        <f t="shared" si="7"/>
        <v/>
      </c>
      <c r="CL9" s="47" t="str">
        <f t="shared" si="7"/>
        <v/>
      </c>
    </row>
    <row r="10" spans="1:90" x14ac:dyDescent="0.3">
      <c r="A10" s="28" t="str">
        <f>PERT!A13</f>
        <v>E</v>
      </c>
      <c r="B10" s="22" t="str">
        <f>PERT!B13</f>
        <v>Thiết kế giao diện (wireframe, mockup)</v>
      </c>
      <c r="C10" s="46">
        <f>PERT!K13</f>
        <v>17.666666666666668</v>
      </c>
      <c r="D10" s="46">
        <f>PERT!L13</f>
        <v>25.833333333333336</v>
      </c>
      <c r="E10" s="28" t="str">
        <f>PERT!P13</f>
        <v>Găng</v>
      </c>
      <c r="F10" s="47" t="str">
        <f t="shared" si="0"/>
        <v/>
      </c>
      <c r="G10" s="47" t="str">
        <f t="shared" si="0"/>
        <v/>
      </c>
      <c r="H10" s="47" t="str">
        <f t="shared" si="0"/>
        <v/>
      </c>
      <c r="I10" s="47" t="str">
        <f t="shared" si="0"/>
        <v/>
      </c>
      <c r="J10" s="47" t="str">
        <f t="shared" si="0"/>
        <v/>
      </c>
      <c r="K10" s="47" t="str">
        <f t="shared" si="0"/>
        <v/>
      </c>
      <c r="L10" s="47" t="str">
        <f t="shared" si="0"/>
        <v/>
      </c>
      <c r="M10" s="47" t="str">
        <f t="shared" si="0"/>
        <v/>
      </c>
      <c r="N10" s="47" t="str">
        <f t="shared" si="0"/>
        <v/>
      </c>
      <c r="O10" s="47" t="str">
        <f t="shared" si="0"/>
        <v/>
      </c>
      <c r="P10" s="47" t="str">
        <f t="shared" si="1"/>
        <v/>
      </c>
      <c r="Q10" s="47" t="str">
        <f t="shared" si="1"/>
        <v/>
      </c>
      <c r="R10" s="47" t="str">
        <f t="shared" si="1"/>
        <v/>
      </c>
      <c r="S10" s="47" t="str">
        <f t="shared" si="1"/>
        <v/>
      </c>
      <c r="T10" s="47" t="str">
        <f t="shared" si="1"/>
        <v/>
      </c>
      <c r="U10" s="47" t="str">
        <f t="shared" si="1"/>
        <v/>
      </c>
      <c r="V10" s="47" t="str">
        <f t="shared" si="1"/>
        <v/>
      </c>
      <c r="W10" s="47">
        <f t="shared" si="1"/>
        <v>1</v>
      </c>
      <c r="X10" s="47">
        <f t="shared" si="1"/>
        <v>1</v>
      </c>
      <c r="Y10" s="47">
        <f t="shared" si="1"/>
        <v>1</v>
      </c>
      <c r="Z10" s="47">
        <f t="shared" si="2"/>
        <v>1</v>
      </c>
      <c r="AA10" s="47">
        <f t="shared" si="2"/>
        <v>1</v>
      </c>
      <c r="AB10" s="47">
        <f t="shared" si="2"/>
        <v>1</v>
      </c>
      <c r="AC10" s="47">
        <f t="shared" si="2"/>
        <v>1</v>
      </c>
      <c r="AD10" s="47">
        <f t="shared" si="2"/>
        <v>1</v>
      </c>
      <c r="AE10" s="47">
        <f t="shared" si="2"/>
        <v>1</v>
      </c>
      <c r="AF10" s="47" t="str">
        <f t="shared" si="2"/>
        <v/>
      </c>
      <c r="AG10" s="47" t="str">
        <f t="shared" si="2"/>
        <v/>
      </c>
      <c r="AH10" s="47" t="str">
        <f t="shared" si="2"/>
        <v/>
      </c>
      <c r="AI10" s="47" t="str">
        <f t="shared" si="2"/>
        <v/>
      </c>
      <c r="AJ10" s="47" t="str">
        <f t="shared" si="3"/>
        <v/>
      </c>
      <c r="AK10" s="47" t="str">
        <f t="shared" si="3"/>
        <v/>
      </c>
      <c r="AL10" s="47" t="str">
        <f t="shared" si="3"/>
        <v/>
      </c>
      <c r="AM10" s="47" t="str">
        <f t="shared" si="3"/>
        <v/>
      </c>
      <c r="AN10" s="47" t="str">
        <f t="shared" si="3"/>
        <v/>
      </c>
      <c r="AO10" s="47" t="str">
        <f t="shared" si="3"/>
        <v/>
      </c>
      <c r="AP10" s="47" t="str">
        <f t="shared" si="3"/>
        <v/>
      </c>
      <c r="AQ10" s="47" t="str">
        <f t="shared" si="3"/>
        <v/>
      </c>
      <c r="AR10" s="47" t="str">
        <f t="shared" si="3"/>
        <v/>
      </c>
      <c r="AS10" s="47" t="str">
        <f t="shared" si="3"/>
        <v/>
      </c>
      <c r="AT10" s="47" t="str">
        <f t="shared" si="4"/>
        <v/>
      </c>
      <c r="AU10" s="47" t="str">
        <f t="shared" si="4"/>
        <v/>
      </c>
      <c r="AV10" s="47" t="str">
        <f t="shared" si="4"/>
        <v/>
      </c>
      <c r="AW10" s="47" t="str">
        <f t="shared" si="4"/>
        <v/>
      </c>
      <c r="AX10" s="47" t="str">
        <f t="shared" si="4"/>
        <v/>
      </c>
      <c r="AY10" s="47" t="str">
        <f t="shared" si="4"/>
        <v/>
      </c>
      <c r="AZ10" s="47" t="str">
        <f t="shared" si="4"/>
        <v/>
      </c>
      <c r="BA10" s="47" t="str">
        <f t="shared" si="4"/>
        <v/>
      </c>
      <c r="BB10" s="47" t="str">
        <f t="shared" si="4"/>
        <v/>
      </c>
      <c r="BC10" s="47" t="str">
        <f t="shared" si="4"/>
        <v/>
      </c>
      <c r="BD10" s="47" t="str">
        <f t="shared" si="5"/>
        <v/>
      </c>
      <c r="BE10" s="47" t="str">
        <f t="shared" si="5"/>
        <v/>
      </c>
      <c r="BF10" s="47" t="str">
        <f t="shared" si="5"/>
        <v/>
      </c>
      <c r="BG10" s="47" t="str">
        <f t="shared" si="5"/>
        <v/>
      </c>
      <c r="BH10" s="47" t="str">
        <f t="shared" si="5"/>
        <v/>
      </c>
      <c r="BI10" s="47" t="str">
        <f t="shared" si="5"/>
        <v/>
      </c>
      <c r="BJ10" s="47" t="str">
        <f t="shared" si="5"/>
        <v/>
      </c>
      <c r="BK10" s="47" t="str">
        <f t="shared" si="5"/>
        <v/>
      </c>
      <c r="BL10" s="47" t="str">
        <f t="shared" si="5"/>
        <v/>
      </c>
      <c r="BM10" s="47" t="str">
        <f t="shared" si="5"/>
        <v/>
      </c>
      <c r="BN10" s="47" t="str">
        <f t="shared" si="6"/>
        <v/>
      </c>
      <c r="BO10" s="47" t="str">
        <f t="shared" si="6"/>
        <v/>
      </c>
      <c r="BP10" s="47" t="str">
        <f t="shared" si="6"/>
        <v/>
      </c>
      <c r="BQ10" s="47" t="str">
        <f t="shared" si="6"/>
        <v/>
      </c>
      <c r="BR10" s="47" t="str">
        <f t="shared" si="6"/>
        <v/>
      </c>
      <c r="BS10" s="47" t="str">
        <f t="shared" si="6"/>
        <v/>
      </c>
      <c r="BT10" s="47" t="str">
        <f t="shared" si="6"/>
        <v/>
      </c>
      <c r="BU10" s="47" t="str">
        <f t="shared" si="6"/>
        <v/>
      </c>
      <c r="BV10" s="47" t="str">
        <f t="shared" si="6"/>
        <v/>
      </c>
      <c r="BW10" s="47" t="str">
        <f t="shared" si="6"/>
        <v/>
      </c>
      <c r="BX10" s="47" t="str">
        <f t="shared" si="7"/>
        <v/>
      </c>
      <c r="BY10" s="47" t="str">
        <f t="shared" si="7"/>
        <v/>
      </c>
      <c r="BZ10" s="47" t="str">
        <f t="shared" si="7"/>
        <v/>
      </c>
      <c r="CA10" s="47" t="str">
        <f t="shared" si="7"/>
        <v/>
      </c>
      <c r="CB10" s="47" t="str">
        <f t="shared" si="7"/>
        <v/>
      </c>
      <c r="CC10" s="47" t="str">
        <f t="shared" si="7"/>
        <v/>
      </c>
      <c r="CD10" s="47" t="str">
        <f t="shared" si="7"/>
        <v/>
      </c>
      <c r="CE10" s="47" t="str">
        <f t="shared" si="7"/>
        <v/>
      </c>
      <c r="CF10" s="47" t="str">
        <f t="shared" si="7"/>
        <v/>
      </c>
      <c r="CG10" s="47" t="str">
        <f t="shared" si="7"/>
        <v/>
      </c>
      <c r="CH10" s="47" t="str">
        <f t="shared" si="7"/>
        <v/>
      </c>
      <c r="CI10" s="47" t="str">
        <f t="shared" si="7"/>
        <v/>
      </c>
      <c r="CJ10" s="47" t="str">
        <f t="shared" si="7"/>
        <v/>
      </c>
      <c r="CK10" s="47" t="str">
        <f t="shared" si="7"/>
        <v/>
      </c>
      <c r="CL10" s="47" t="str">
        <f t="shared" si="7"/>
        <v/>
      </c>
    </row>
    <row r="11" spans="1:90" x14ac:dyDescent="0.3">
      <c r="A11" s="28" t="str">
        <f>PERT!A14</f>
        <v>F</v>
      </c>
      <c r="B11" s="22" t="str">
        <f>PERT!B14</f>
        <v>Nền tảng backend, xác thực và phân quyền</v>
      </c>
      <c r="C11" s="46">
        <f>PERT!K14</f>
        <v>24</v>
      </c>
      <c r="D11" s="46">
        <f>PERT!L14</f>
        <v>29.166666666666668</v>
      </c>
      <c r="E11" s="28" t="str">
        <f>PERT!P14</f>
        <v/>
      </c>
      <c r="F11" s="47" t="str">
        <f t="shared" si="0"/>
        <v/>
      </c>
      <c r="G11" s="47" t="str">
        <f t="shared" si="0"/>
        <v/>
      </c>
      <c r="H11" s="47" t="str">
        <f t="shared" si="0"/>
        <v/>
      </c>
      <c r="I11" s="47" t="str">
        <f t="shared" si="0"/>
        <v/>
      </c>
      <c r="J11" s="47" t="str">
        <f t="shared" si="0"/>
        <v/>
      </c>
      <c r="K11" s="47" t="str">
        <f t="shared" si="0"/>
        <v/>
      </c>
      <c r="L11" s="47" t="str">
        <f t="shared" si="0"/>
        <v/>
      </c>
      <c r="M11" s="47" t="str">
        <f t="shared" si="0"/>
        <v/>
      </c>
      <c r="N11" s="47" t="str">
        <f t="shared" si="0"/>
        <v/>
      </c>
      <c r="O11" s="47" t="str">
        <f t="shared" si="0"/>
        <v/>
      </c>
      <c r="P11" s="47" t="str">
        <f t="shared" si="1"/>
        <v/>
      </c>
      <c r="Q11" s="47" t="str">
        <f t="shared" si="1"/>
        <v/>
      </c>
      <c r="R11" s="47" t="str">
        <f t="shared" si="1"/>
        <v/>
      </c>
      <c r="S11" s="47" t="str">
        <f t="shared" si="1"/>
        <v/>
      </c>
      <c r="T11" s="47" t="str">
        <f t="shared" si="1"/>
        <v/>
      </c>
      <c r="U11" s="47" t="str">
        <f t="shared" si="1"/>
        <v/>
      </c>
      <c r="V11" s="47" t="str">
        <f t="shared" si="1"/>
        <v/>
      </c>
      <c r="W11" s="47" t="str">
        <f t="shared" si="1"/>
        <v/>
      </c>
      <c r="X11" s="47" t="str">
        <f t="shared" si="1"/>
        <v/>
      </c>
      <c r="Y11" s="47" t="str">
        <f t="shared" si="1"/>
        <v/>
      </c>
      <c r="Z11" s="47" t="str">
        <f t="shared" si="2"/>
        <v/>
      </c>
      <c r="AA11" s="47" t="str">
        <f t="shared" si="2"/>
        <v/>
      </c>
      <c r="AB11" s="47" t="str">
        <f t="shared" si="2"/>
        <v/>
      </c>
      <c r="AC11" s="47" t="str">
        <f t="shared" si="2"/>
        <v/>
      </c>
      <c r="AD11" s="47">
        <f t="shared" si="2"/>
        <v>1</v>
      </c>
      <c r="AE11" s="47">
        <f t="shared" si="2"/>
        <v>1</v>
      </c>
      <c r="AF11" s="47">
        <f t="shared" si="2"/>
        <v>1</v>
      </c>
      <c r="AG11" s="47">
        <f t="shared" si="2"/>
        <v>1</v>
      </c>
      <c r="AH11" s="47">
        <f t="shared" si="2"/>
        <v>1</v>
      </c>
      <c r="AI11" s="47">
        <f t="shared" si="2"/>
        <v>1</v>
      </c>
      <c r="AJ11" s="47" t="str">
        <f t="shared" si="3"/>
        <v/>
      </c>
      <c r="AK11" s="47" t="str">
        <f t="shared" si="3"/>
        <v/>
      </c>
      <c r="AL11" s="47" t="str">
        <f t="shared" si="3"/>
        <v/>
      </c>
      <c r="AM11" s="47" t="str">
        <f t="shared" si="3"/>
        <v/>
      </c>
      <c r="AN11" s="47" t="str">
        <f t="shared" si="3"/>
        <v/>
      </c>
      <c r="AO11" s="47" t="str">
        <f t="shared" si="3"/>
        <v/>
      </c>
      <c r="AP11" s="47" t="str">
        <f t="shared" si="3"/>
        <v/>
      </c>
      <c r="AQ11" s="47" t="str">
        <f t="shared" si="3"/>
        <v/>
      </c>
      <c r="AR11" s="47" t="str">
        <f t="shared" si="3"/>
        <v/>
      </c>
      <c r="AS11" s="47" t="str">
        <f t="shared" si="3"/>
        <v/>
      </c>
      <c r="AT11" s="47" t="str">
        <f t="shared" si="4"/>
        <v/>
      </c>
      <c r="AU11" s="47" t="str">
        <f t="shared" si="4"/>
        <v/>
      </c>
      <c r="AV11" s="47" t="str">
        <f t="shared" si="4"/>
        <v/>
      </c>
      <c r="AW11" s="47" t="str">
        <f t="shared" si="4"/>
        <v/>
      </c>
      <c r="AX11" s="47" t="str">
        <f t="shared" si="4"/>
        <v/>
      </c>
      <c r="AY11" s="47" t="str">
        <f t="shared" si="4"/>
        <v/>
      </c>
      <c r="AZ11" s="47" t="str">
        <f t="shared" si="4"/>
        <v/>
      </c>
      <c r="BA11" s="47" t="str">
        <f t="shared" si="4"/>
        <v/>
      </c>
      <c r="BB11" s="47" t="str">
        <f t="shared" si="4"/>
        <v/>
      </c>
      <c r="BC11" s="47" t="str">
        <f t="shared" si="4"/>
        <v/>
      </c>
      <c r="BD11" s="47" t="str">
        <f t="shared" si="5"/>
        <v/>
      </c>
      <c r="BE11" s="47" t="str">
        <f t="shared" si="5"/>
        <v/>
      </c>
      <c r="BF11" s="47" t="str">
        <f t="shared" si="5"/>
        <v/>
      </c>
      <c r="BG11" s="47" t="str">
        <f t="shared" si="5"/>
        <v/>
      </c>
      <c r="BH11" s="47" t="str">
        <f t="shared" si="5"/>
        <v/>
      </c>
      <c r="BI11" s="47" t="str">
        <f t="shared" si="5"/>
        <v/>
      </c>
      <c r="BJ11" s="47" t="str">
        <f t="shared" si="5"/>
        <v/>
      </c>
      <c r="BK11" s="47" t="str">
        <f t="shared" si="5"/>
        <v/>
      </c>
      <c r="BL11" s="47" t="str">
        <f t="shared" si="5"/>
        <v/>
      </c>
      <c r="BM11" s="47" t="str">
        <f t="shared" si="5"/>
        <v/>
      </c>
      <c r="BN11" s="47" t="str">
        <f t="shared" si="6"/>
        <v/>
      </c>
      <c r="BO11" s="47" t="str">
        <f t="shared" si="6"/>
        <v/>
      </c>
      <c r="BP11" s="47" t="str">
        <f t="shared" si="6"/>
        <v/>
      </c>
      <c r="BQ11" s="47" t="str">
        <f t="shared" si="6"/>
        <v/>
      </c>
      <c r="BR11" s="47" t="str">
        <f t="shared" si="6"/>
        <v/>
      </c>
      <c r="BS11" s="47" t="str">
        <f t="shared" si="6"/>
        <v/>
      </c>
      <c r="BT11" s="47" t="str">
        <f t="shared" si="6"/>
        <v/>
      </c>
      <c r="BU11" s="47" t="str">
        <f t="shared" si="6"/>
        <v/>
      </c>
      <c r="BV11" s="47" t="str">
        <f t="shared" si="6"/>
        <v/>
      </c>
      <c r="BW11" s="47" t="str">
        <f t="shared" si="6"/>
        <v/>
      </c>
      <c r="BX11" s="47" t="str">
        <f t="shared" si="7"/>
        <v/>
      </c>
      <c r="BY11" s="47" t="str">
        <f t="shared" si="7"/>
        <v/>
      </c>
      <c r="BZ11" s="47" t="str">
        <f t="shared" si="7"/>
        <v/>
      </c>
      <c r="CA11" s="47" t="str">
        <f t="shared" si="7"/>
        <v/>
      </c>
      <c r="CB11" s="47" t="str">
        <f t="shared" si="7"/>
        <v/>
      </c>
      <c r="CC11" s="47" t="str">
        <f t="shared" si="7"/>
        <v/>
      </c>
      <c r="CD11" s="47" t="str">
        <f t="shared" si="7"/>
        <v/>
      </c>
      <c r="CE11" s="47" t="str">
        <f t="shared" si="7"/>
        <v/>
      </c>
      <c r="CF11" s="47" t="str">
        <f t="shared" si="7"/>
        <v/>
      </c>
      <c r="CG11" s="47" t="str">
        <f t="shared" si="7"/>
        <v/>
      </c>
      <c r="CH11" s="47" t="str">
        <f t="shared" si="7"/>
        <v/>
      </c>
      <c r="CI11" s="47" t="str">
        <f t="shared" si="7"/>
        <v/>
      </c>
      <c r="CJ11" s="47" t="str">
        <f t="shared" si="7"/>
        <v/>
      </c>
      <c r="CK11" s="47" t="str">
        <f t="shared" si="7"/>
        <v/>
      </c>
      <c r="CL11" s="47" t="str">
        <f t="shared" si="7"/>
        <v/>
      </c>
    </row>
    <row r="12" spans="1:90" x14ac:dyDescent="0.3">
      <c r="A12" s="28" t="str">
        <f>PERT!A15</f>
        <v>G</v>
      </c>
      <c r="B12" s="22" t="str">
        <f>PERT!B15</f>
        <v>Phát triển API nghiệp vụ</v>
      </c>
      <c r="C12" s="46">
        <f>PERT!K15</f>
        <v>29.166666666666668</v>
      </c>
      <c r="D12" s="46">
        <f>PERT!L15</f>
        <v>47.833333333333336</v>
      </c>
      <c r="E12" s="28" t="str">
        <f>PERT!P15</f>
        <v/>
      </c>
      <c r="F12" s="47" t="str">
        <f t="shared" si="0"/>
        <v/>
      </c>
      <c r="G12" s="47" t="str">
        <f t="shared" si="0"/>
        <v/>
      </c>
      <c r="H12" s="47" t="str">
        <f t="shared" si="0"/>
        <v/>
      </c>
      <c r="I12" s="47" t="str">
        <f t="shared" si="0"/>
        <v/>
      </c>
      <c r="J12" s="47" t="str">
        <f t="shared" si="0"/>
        <v/>
      </c>
      <c r="K12" s="47" t="str">
        <f t="shared" si="0"/>
        <v/>
      </c>
      <c r="L12" s="47" t="str">
        <f t="shared" si="0"/>
        <v/>
      </c>
      <c r="M12" s="47" t="str">
        <f t="shared" si="0"/>
        <v/>
      </c>
      <c r="N12" s="47" t="str">
        <f t="shared" si="0"/>
        <v/>
      </c>
      <c r="O12" s="47" t="str">
        <f t="shared" si="0"/>
        <v/>
      </c>
      <c r="P12" s="47" t="str">
        <f t="shared" si="1"/>
        <v/>
      </c>
      <c r="Q12" s="47" t="str">
        <f t="shared" si="1"/>
        <v/>
      </c>
      <c r="R12" s="47" t="str">
        <f t="shared" si="1"/>
        <v/>
      </c>
      <c r="S12" s="47" t="str">
        <f t="shared" si="1"/>
        <v/>
      </c>
      <c r="T12" s="47" t="str">
        <f t="shared" si="1"/>
        <v/>
      </c>
      <c r="U12" s="47" t="str">
        <f t="shared" si="1"/>
        <v/>
      </c>
      <c r="V12" s="47" t="str">
        <f t="shared" si="1"/>
        <v/>
      </c>
      <c r="W12" s="47" t="str">
        <f t="shared" si="1"/>
        <v/>
      </c>
      <c r="X12" s="47" t="str">
        <f t="shared" si="1"/>
        <v/>
      </c>
      <c r="Y12" s="47" t="str">
        <f t="shared" si="1"/>
        <v/>
      </c>
      <c r="Z12" s="47" t="str">
        <f t="shared" si="2"/>
        <v/>
      </c>
      <c r="AA12" s="47" t="str">
        <f t="shared" si="2"/>
        <v/>
      </c>
      <c r="AB12" s="47" t="str">
        <f t="shared" si="2"/>
        <v/>
      </c>
      <c r="AC12" s="47" t="str">
        <f t="shared" si="2"/>
        <v/>
      </c>
      <c r="AD12" s="47" t="str">
        <f t="shared" si="2"/>
        <v/>
      </c>
      <c r="AE12" s="47" t="str">
        <f t="shared" si="2"/>
        <v/>
      </c>
      <c r="AF12" s="47" t="str">
        <f t="shared" si="2"/>
        <v/>
      </c>
      <c r="AG12" s="47" t="str">
        <f t="shared" si="2"/>
        <v/>
      </c>
      <c r="AH12" s="47" t="str">
        <f t="shared" si="2"/>
        <v/>
      </c>
      <c r="AI12" s="47">
        <f t="shared" si="2"/>
        <v>1</v>
      </c>
      <c r="AJ12" s="47">
        <f t="shared" si="3"/>
        <v>1</v>
      </c>
      <c r="AK12" s="47">
        <f t="shared" si="3"/>
        <v>1</v>
      </c>
      <c r="AL12" s="47">
        <f t="shared" si="3"/>
        <v>1</v>
      </c>
      <c r="AM12" s="47">
        <f t="shared" si="3"/>
        <v>1</v>
      </c>
      <c r="AN12" s="47">
        <f t="shared" si="3"/>
        <v>1</v>
      </c>
      <c r="AO12" s="47">
        <f t="shared" si="3"/>
        <v>1</v>
      </c>
      <c r="AP12" s="47">
        <f t="shared" si="3"/>
        <v>1</v>
      </c>
      <c r="AQ12" s="47">
        <f t="shared" si="3"/>
        <v>1</v>
      </c>
      <c r="AR12" s="47">
        <f t="shared" si="3"/>
        <v>1</v>
      </c>
      <c r="AS12" s="47">
        <f t="shared" si="3"/>
        <v>1</v>
      </c>
      <c r="AT12" s="47">
        <f t="shared" si="4"/>
        <v>1</v>
      </c>
      <c r="AU12" s="47">
        <f t="shared" si="4"/>
        <v>1</v>
      </c>
      <c r="AV12" s="47">
        <f t="shared" si="4"/>
        <v>1</v>
      </c>
      <c r="AW12" s="47">
        <f t="shared" si="4"/>
        <v>1</v>
      </c>
      <c r="AX12" s="47">
        <f t="shared" si="4"/>
        <v>1</v>
      </c>
      <c r="AY12" s="47">
        <f t="shared" si="4"/>
        <v>1</v>
      </c>
      <c r="AZ12" s="47">
        <f t="shared" si="4"/>
        <v>1</v>
      </c>
      <c r="BA12" s="47">
        <f t="shared" si="4"/>
        <v>1</v>
      </c>
      <c r="BB12" s="47" t="str">
        <f t="shared" si="4"/>
        <v/>
      </c>
      <c r="BC12" s="47" t="str">
        <f t="shared" si="4"/>
        <v/>
      </c>
      <c r="BD12" s="47" t="str">
        <f t="shared" si="5"/>
        <v/>
      </c>
      <c r="BE12" s="47" t="str">
        <f t="shared" si="5"/>
        <v/>
      </c>
      <c r="BF12" s="47" t="str">
        <f t="shared" si="5"/>
        <v/>
      </c>
      <c r="BG12" s="47" t="str">
        <f t="shared" si="5"/>
        <v/>
      </c>
      <c r="BH12" s="47" t="str">
        <f t="shared" si="5"/>
        <v/>
      </c>
      <c r="BI12" s="47" t="str">
        <f t="shared" si="5"/>
        <v/>
      </c>
      <c r="BJ12" s="47" t="str">
        <f t="shared" si="5"/>
        <v/>
      </c>
      <c r="BK12" s="47" t="str">
        <f t="shared" si="5"/>
        <v/>
      </c>
      <c r="BL12" s="47" t="str">
        <f t="shared" si="5"/>
        <v/>
      </c>
      <c r="BM12" s="47" t="str">
        <f t="shared" si="5"/>
        <v/>
      </c>
      <c r="BN12" s="47" t="str">
        <f t="shared" si="6"/>
        <v/>
      </c>
      <c r="BO12" s="47" t="str">
        <f t="shared" si="6"/>
        <v/>
      </c>
      <c r="BP12" s="47" t="str">
        <f t="shared" si="6"/>
        <v/>
      </c>
      <c r="BQ12" s="47" t="str">
        <f t="shared" si="6"/>
        <v/>
      </c>
      <c r="BR12" s="47" t="str">
        <f t="shared" si="6"/>
        <v/>
      </c>
      <c r="BS12" s="47" t="str">
        <f t="shared" si="6"/>
        <v/>
      </c>
      <c r="BT12" s="47" t="str">
        <f t="shared" si="6"/>
        <v/>
      </c>
      <c r="BU12" s="47" t="str">
        <f t="shared" si="6"/>
        <v/>
      </c>
      <c r="BV12" s="47" t="str">
        <f t="shared" si="6"/>
        <v/>
      </c>
      <c r="BW12" s="47" t="str">
        <f t="shared" si="6"/>
        <v/>
      </c>
      <c r="BX12" s="47" t="str">
        <f t="shared" si="7"/>
        <v/>
      </c>
      <c r="BY12" s="47" t="str">
        <f t="shared" si="7"/>
        <v/>
      </c>
      <c r="BZ12" s="47" t="str">
        <f t="shared" si="7"/>
        <v/>
      </c>
      <c r="CA12" s="47" t="str">
        <f t="shared" si="7"/>
        <v/>
      </c>
      <c r="CB12" s="47" t="str">
        <f t="shared" si="7"/>
        <v/>
      </c>
      <c r="CC12" s="47" t="str">
        <f t="shared" si="7"/>
        <v/>
      </c>
      <c r="CD12" s="47" t="str">
        <f t="shared" si="7"/>
        <v/>
      </c>
      <c r="CE12" s="47" t="str">
        <f t="shared" si="7"/>
        <v/>
      </c>
      <c r="CF12" s="47" t="str">
        <f t="shared" si="7"/>
        <v/>
      </c>
      <c r="CG12" s="47" t="str">
        <f t="shared" si="7"/>
        <v/>
      </c>
      <c r="CH12" s="47" t="str">
        <f t="shared" si="7"/>
        <v/>
      </c>
      <c r="CI12" s="47" t="str">
        <f t="shared" si="7"/>
        <v/>
      </c>
      <c r="CJ12" s="47" t="str">
        <f t="shared" si="7"/>
        <v/>
      </c>
      <c r="CK12" s="47" t="str">
        <f t="shared" si="7"/>
        <v/>
      </c>
      <c r="CL12" s="47" t="str">
        <f t="shared" si="7"/>
        <v/>
      </c>
    </row>
    <row r="13" spans="1:90" x14ac:dyDescent="0.3">
      <c r="A13" s="28" t="str">
        <f>PERT!A16</f>
        <v>H</v>
      </c>
      <c r="B13" s="22" t="str">
        <f>PERT!B16</f>
        <v>Tích hợp phần mềm bán hàng, chuyển đổi dữ liệu</v>
      </c>
      <c r="C13" s="46">
        <f>PERT!K16</f>
        <v>29.166666666666668</v>
      </c>
      <c r="D13" s="46">
        <f>PERT!L16</f>
        <v>41.833333333333336</v>
      </c>
      <c r="E13" s="28" t="str">
        <f>PERT!P16</f>
        <v/>
      </c>
      <c r="F13" s="47" t="str">
        <f t="shared" si="0"/>
        <v/>
      </c>
      <c r="G13" s="47" t="str">
        <f t="shared" si="0"/>
        <v/>
      </c>
      <c r="H13" s="47" t="str">
        <f t="shared" si="0"/>
        <v/>
      </c>
      <c r="I13" s="47" t="str">
        <f t="shared" si="0"/>
        <v/>
      </c>
      <c r="J13" s="47" t="str">
        <f t="shared" si="0"/>
        <v/>
      </c>
      <c r="K13" s="47" t="str">
        <f t="shared" si="0"/>
        <v/>
      </c>
      <c r="L13" s="47" t="str">
        <f t="shared" si="0"/>
        <v/>
      </c>
      <c r="M13" s="47" t="str">
        <f t="shared" si="0"/>
        <v/>
      </c>
      <c r="N13" s="47" t="str">
        <f t="shared" si="0"/>
        <v/>
      </c>
      <c r="O13" s="47" t="str">
        <f t="shared" si="0"/>
        <v/>
      </c>
      <c r="P13" s="47" t="str">
        <f t="shared" si="1"/>
        <v/>
      </c>
      <c r="Q13" s="47" t="str">
        <f t="shared" si="1"/>
        <v/>
      </c>
      <c r="R13" s="47" t="str">
        <f t="shared" si="1"/>
        <v/>
      </c>
      <c r="S13" s="47" t="str">
        <f t="shared" si="1"/>
        <v/>
      </c>
      <c r="T13" s="47" t="str">
        <f t="shared" si="1"/>
        <v/>
      </c>
      <c r="U13" s="47" t="str">
        <f t="shared" si="1"/>
        <v/>
      </c>
      <c r="V13" s="47" t="str">
        <f t="shared" si="1"/>
        <v/>
      </c>
      <c r="W13" s="47" t="str">
        <f t="shared" si="1"/>
        <v/>
      </c>
      <c r="X13" s="47" t="str">
        <f t="shared" si="1"/>
        <v/>
      </c>
      <c r="Y13" s="47" t="str">
        <f t="shared" si="1"/>
        <v/>
      </c>
      <c r="Z13" s="47" t="str">
        <f t="shared" si="2"/>
        <v/>
      </c>
      <c r="AA13" s="47" t="str">
        <f t="shared" si="2"/>
        <v/>
      </c>
      <c r="AB13" s="47" t="str">
        <f t="shared" si="2"/>
        <v/>
      </c>
      <c r="AC13" s="47" t="str">
        <f t="shared" si="2"/>
        <v/>
      </c>
      <c r="AD13" s="47" t="str">
        <f t="shared" si="2"/>
        <v/>
      </c>
      <c r="AE13" s="47" t="str">
        <f t="shared" si="2"/>
        <v/>
      </c>
      <c r="AF13" s="47" t="str">
        <f t="shared" si="2"/>
        <v/>
      </c>
      <c r="AG13" s="47" t="str">
        <f t="shared" si="2"/>
        <v/>
      </c>
      <c r="AH13" s="47" t="str">
        <f t="shared" si="2"/>
        <v/>
      </c>
      <c r="AI13" s="47">
        <f t="shared" si="2"/>
        <v>1</v>
      </c>
      <c r="AJ13" s="47">
        <f t="shared" si="3"/>
        <v>1</v>
      </c>
      <c r="AK13" s="47">
        <f t="shared" si="3"/>
        <v>1</v>
      </c>
      <c r="AL13" s="47">
        <f t="shared" si="3"/>
        <v>1</v>
      </c>
      <c r="AM13" s="47">
        <f t="shared" si="3"/>
        <v>1</v>
      </c>
      <c r="AN13" s="47">
        <f t="shared" si="3"/>
        <v>1</v>
      </c>
      <c r="AO13" s="47">
        <f t="shared" si="3"/>
        <v>1</v>
      </c>
      <c r="AP13" s="47">
        <f t="shared" si="3"/>
        <v>1</v>
      </c>
      <c r="AQ13" s="47">
        <f t="shared" si="3"/>
        <v>1</v>
      </c>
      <c r="AR13" s="47">
        <f t="shared" si="3"/>
        <v>1</v>
      </c>
      <c r="AS13" s="47">
        <f t="shared" si="3"/>
        <v>1</v>
      </c>
      <c r="AT13" s="47">
        <f t="shared" si="4"/>
        <v>1</v>
      </c>
      <c r="AU13" s="47">
        <f t="shared" si="4"/>
        <v>1</v>
      </c>
      <c r="AV13" s="47" t="str">
        <f t="shared" si="4"/>
        <v/>
      </c>
      <c r="AW13" s="47" t="str">
        <f t="shared" si="4"/>
        <v/>
      </c>
      <c r="AX13" s="47" t="str">
        <f t="shared" si="4"/>
        <v/>
      </c>
      <c r="AY13" s="47" t="str">
        <f t="shared" si="4"/>
        <v/>
      </c>
      <c r="AZ13" s="47" t="str">
        <f t="shared" si="4"/>
        <v/>
      </c>
      <c r="BA13" s="47" t="str">
        <f t="shared" si="4"/>
        <v/>
      </c>
      <c r="BB13" s="47" t="str">
        <f t="shared" si="4"/>
        <v/>
      </c>
      <c r="BC13" s="47" t="str">
        <f t="shared" si="4"/>
        <v/>
      </c>
      <c r="BD13" s="47" t="str">
        <f t="shared" si="5"/>
        <v/>
      </c>
      <c r="BE13" s="47" t="str">
        <f t="shared" si="5"/>
        <v/>
      </c>
      <c r="BF13" s="47" t="str">
        <f t="shared" si="5"/>
        <v/>
      </c>
      <c r="BG13" s="47" t="str">
        <f t="shared" si="5"/>
        <v/>
      </c>
      <c r="BH13" s="47" t="str">
        <f t="shared" si="5"/>
        <v/>
      </c>
      <c r="BI13" s="47" t="str">
        <f t="shared" si="5"/>
        <v/>
      </c>
      <c r="BJ13" s="47" t="str">
        <f t="shared" si="5"/>
        <v/>
      </c>
      <c r="BK13" s="47" t="str">
        <f t="shared" si="5"/>
        <v/>
      </c>
      <c r="BL13" s="47" t="str">
        <f t="shared" si="5"/>
        <v/>
      </c>
      <c r="BM13" s="47" t="str">
        <f t="shared" si="5"/>
        <v/>
      </c>
      <c r="BN13" s="47" t="str">
        <f t="shared" si="6"/>
        <v/>
      </c>
      <c r="BO13" s="47" t="str">
        <f t="shared" si="6"/>
        <v/>
      </c>
      <c r="BP13" s="47" t="str">
        <f t="shared" si="6"/>
        <v/>
      </c>
      <c r="BQ13" s="47" t="str">
        <f t="shared" si="6"/>
        <v/>
      </c>
      <c r="BR13" s="47" t="str">
        <f t="shared" si="6"/>
        <v/>
      </c>
      <c r="BS13" s="47" t="str">
        <f t="shared" si="6"/>
        <v/>
      </c>
      <c r="BT13" s="47" t="str">
        <f t="shared" si="6"/>
        <v/>
      </c>
      <c r="BU13" s="47" t="str">
        <f t="shared" si="6"/>
        <v/>
      </c>
      <c r="BV13" s="47" t="str">
        <f t="shared" si="6"/>
        <v/>
      </c>
      <c r="BW13" s="47" t="str">
        <f t="shared" si="6"/>
        <v/>
      </c>
      <c r="BX13" s="47" t="str">
        <f t="shared" si="7"/>
        <v/>
      </c>
      <c r="BY13" s="47" t="str">
        <f t="shared" si="7"/>
        <v/>
      </c>
      <c r="BZ13" s="47" t="str">
        <f t="shared" si="7"/>
        <v/>
      </c>
      <c r="CA13" s="47" t="str">
        <f t="shared" si="7"/>
        <v/>
      </c>
      <c r="CB13" s="47" t="str">
        <f t="shared" si="7"/>
        <v/>
      </c>
      <c r="CC13" s="47" t="str">
        <f t="shared" si="7"/>
        <v/>
      </c>
      <c r="CD13" s="47" t="str">
        <f t="shared" si="7"/>
        <v/>
      </c>
      <c r="CE13" s="47" t="str">
        <f t="shared" si="7"/>
        <v/>
      </c>
      <c r="CF13" s="47" t="str">
        <f t="shared" si="7"/>
        <v/>
      </c>
      <c r="CG13" s="47" t="str">
        <f t="shared" si="7"/>
        <v/>
      </c>
      <c r="CH13" s="47" t="str">
        <f t="shared" si="7"/>
        <v/>
      </c>
      <c r="CI13" s="47" t="str">
        <f t="shared" si="7"/>
        <v/>
      </c>
      <c r="CJ13" s="47" t="str">
        <f t="shared" si="7"/>
        <v/>
      </c>
      <c r="CK13" s="47" t="str">
        <f t="shared" si="7"/>
        <v/>
      </c>
      <c r="CL13" s="47" t="str">
        <f t="shared" si="7"/>
        <v/>
      </c>
    </row>
    <row r="14" spans="1:90" x14ac:dyDescent="0.3">
      <c r="A14" s="28" t="str">
        <f>PERT!A17</f>
        <v>I</v>
      </c>
      <c r="B14" s="22" t="str">
        <f>PERT!B17</f>
        <v>Khung giao diện và thư viện component</v>
      </c>
      <c r="C14" s="46">
        <f>PERT!K17</f>
        <v>25.833333333333336</v>
      </c>
      <c r="D14" s="46">
        <f>PERT!L17</f>
        <v>33</v>
      </c>
      <c r="E14" s="28" t="str">
        <f>PERT!P17</f>
        <v>Găng</v>
      </c>
      <c r="F14" s="47" t="str">
        <f t="shared" si="0"/>
        <v/>
      </c>
      <c r="G14" s="47" t="str">
        <f t="shared" si="0"/>
        <v/>
      </c>
      <c r="H14" s="47" t="str">
        <f t="shared" si="0"/>
        <v/>
      </c>
      <c r="I14" s="47" t="str">
        <f t="shared" si="0"/>
        <v/>
      </c>
      <c r="J14" s="47" t="str">
        <f t="shared" si="0"/>
        <v/>
      </c>
      <c r="K14" s="47" t="str">
        <f t="shared" si="0"/>
        <v/>
      </c>
      <c r="L14" s="47" t="str">
        <f t="shared" si="0"/>
        <v/>
      </c>
      <c r="M14" s="47" t="str">
        <f t="shared" si="0"/>
        <v/>
      </c>
      <c r="N14" s="47" t="str">
        <f t="shared" si="0"/>
        <v/>
      </c>
      <c r="O14" s="47" t="str">
        <f t="shared" si="0"/>
        <v/>
      </c>
      <c r="P14" s="47" t="str">
        <f t="shared" si="1"/>
        <v/>
      </c>
      <c r="Q14" s="47" t="str">
        <f t="shared" si="1"/>
        <v/>
      </c>
      <c r="R14" s="47" t="str">
        <f t="shared" si="1"/>
        <v/>
      </c>
      <c r="S14" s="47" t="str">
        <f t="shared" si="1"/>
        <v/>
      </c>
      <c r="T14" s="47" t="str">
        <f t="shared" si="1"/>
        <v/>
      </c>
      <c r="U14" s="47" t="str">
        <f t="shared" si="1"/>
        <v/>
      </c>
      <c r="V14" s="47" t="str">
        <f t="shared" si="1"/>
        <v/>
      </c>
      <c r="W14" s="47" t="str">
        <f t="shared" si="1"/>
        <v/>
      </c>
      <c r="X14" s="47" t="str">
        <f t="shared" si="1"/>
        <v/>
      </c>
      <c r="Y14" s="47" t="str">
        <f t="shared" si="1"/>
        <v/>
      </c>
      <c r="Z14" s="47" t="str">
        <f t="shared" si="2"/>
        <v/>
      </c>
      <c r="AA14" s="47" t="str">
        <f t="shared" si="2"/>
        <v/>
      </c>
      <c r="AB14" s="47" t="str">
        <f t="shared" si="2"/>
        <v/>
      </c>
      <c r="AC14" s="47" t="str">
        <f t="shared" si="2"/>
        <v/>
      </c>
      <c r="AD14" s="47" t="str">
        <f t="shared" si="2"/>
        <v/>
      </c>
      <c r="AE14" s="47">
        <f t="shared" si="2"/>
        <v>1</v>
      </c>
      <c r="AF14" s="47">
        <f t="shared" si="2"/>
        <v>1</v>
      </c>
      <c r="AG14" s="47">
        <f t="shared" si="2"/>
        <v>1</v>
      </c>
      <c r="AH14" s="47">
        <f t="shared" si="2"/>
        <v>1</v>
      </c>
      <c r="AI14" s="47">
        <f t="shared" si="2"/>
        <v>1</v>
      </c>
      <c r="AJ14" s="47">
        <f t="shared" si="3"/>
        <v>1</v>
      </c>
      <c r="AK14" s="47">
        <f t="shared" si="3"/>
        <v>1</v>
      </c>
      <c r="AL14" s="47">
        <f t="shared" si="3"/>
        <v>1</v>
      </c>
      <c r="AM14" s="47" t="str">
        <f t="shared" si="3"/>
        <v/>
      </c>
      <c r="AN14" s="47" t="str">
        <f t="shared" si="3"/>
        <v/>
      </c>
      <c r="AO14" s="47" t="str">
        <f t="shared" si="3"/>
        <v/>
      </c>
      <c r="AP14" s="47" t="str">
        <f t="shared" si="3"/>
        <v/>
      </c>
      <c r="AQ14" s="47" t="str">
        <f t="shared" si="3"/>
        <v/>
      </c>
      <c r="AR14" s="47" t="str">
        <f t="shared" si="3"/>
        <v/>
      </c>
      <c r="AS14" s="47" t="str">
        <f t="shared" si="3"/>
        <v/>
      </c>
      <c r="AT14" s="47" t="str">
        <f t="shared" si="4"/>
        <v/>
      </c>
      <c r="AU14" s="47" t="str">
        <f t="shared" si="4"/>
        <v/>
      </c>
      <c r="AV14" s="47" t="str">
        <f t="shared" si="4"/>
        <v/>
      </c>
      <c r="AW14" s="47" t="str">
        <f t="shared" si="4"/>
        <v/>
      </c>
      <c r="AX14" s="47" t="str">
        <f t="shared" si="4"/>
        <v/>
      </c>
      <c r="AY14" s="47" t="str">
        <f t="shared" si="4"/>
        <v/>
      </c>
      <c r="AZ14" s="47" t="str">
        <f t="shared" si="4"/>
        <v/>
      </c>
      <c r="BA14" s="47" t="str">
        <f t="shared" si="4"/>
        <v/>
      </c>
      <c r="BB14" s="47" t="str">
        <f t="shared" si="4"/>
        <v/>
      </c>
      <c r="BC14" s="47" t="str">
        <f t="shared" si="4"/>
        <v/>
      </c>
      <c r="BD14" s="47" t="str">
        <f t="shared" si="5"/>
        <v/>
      </c>
      <c r="BE14" s="47" t="str">
        <f t="shared" si="5"/>
        <v/>
      </c>
      <c r="BF14" s="47" t="str">
        <f t="shared" si="5"/>
        <v/>
      </c>
      <c r="BG14" s="47" t="str">
        <f t="shared" si="5"/>
        <v/>
      </c>
      <c r="BH14" s="47" t="str">
        <f t="shared" si="5"/>
        <v/>
      </c>
      <c r="BI14" s="47" t="str">
        <f t="shared" si="5"/>
        <v/>
      </c>
      <c r="BJ14" s="47" t="str">
        <f t="shared" si="5"/>
        <v/>
      </c>
      <c r="BK14" s="47" t="str">
        <f t="shared" si="5"/>
        <v/>
      </c>
      <c r="BL14" s="47" t="str">
        <f t="shared" si="5"/>
        <v/>
      </c>
      <c r="BM14" s="47" t="str">
        <f t="shared" si="5"/>
        <v/>
      </c>
      <c r="BN14" s="47" t="str">
        <f t="shared" si="6"/>
        <v/>
      </c>
      <c r="BO14" s="47" t="str">
        <f t="shared" si="6"/>
        <v/>
      </c>
      <c r="BP14" s="47" t="str">
        <f t="shared" si="6"/>
        <v/>
      </c>
      <c r="BQ14" s="47" t="str">
        <f t="shared" si="6"/>
        <v/>
      </c>
      <c r="BR14" s="47" t="str">
        <f t="shared" si="6"/>
        <v/>
      </c>
      <c r="BS14" s="47" t="str">
        <f t="shared" si="6"/>
        <v/>
      </c>
      <c r="BT14" s="47" t="str">
        <f t="shared" si="6"/>
        <v/>
      </c>
      <c r="BU14" s="47" t="str">
        <f t="shared" si="6"/>
        <v/>
      </c>
      <c r="BV14" s="47" t="str">
        <f t="shared" si="6"/>
        <v/>
      </c>
      <c r="BW14" s="47" t="str">
        <f t="shared" si="6"/>
        <v/>
      </c>
      <c r="BX14" s="47" t="str">
        <f t="shared" si="7"/>
        <v/>
      </c>
      <c r="BY14" s="47" t="str">
        <f t="shared" si="7"/>
        <v/>
      </c>
      <c r="BZ14" s="47" t="str">
        <f t="shared" si="7"/>
        <v/>
      </c>
      <c r="CA14" s="47" t="str">
        <f t="shared" si="7"/>
        <v/>
      </c>
      <c r="CB14" s="47" t="str">
        <f t="shared" si="7"/>
        <v/>
      </c>
      <c r="CC14" s="47" t="str">
        <f t="shared" si="7"/>
        <v/>
      </c>
      <c r="CD14" s="47" t="str">
        <f t="shared" si="7"/>
        <v/>
      </c>
      <c r="CE14" s="47" t="str">
        <f t="shared" si="7"/>
        <v/>
      </c>
      <c r="CF14" s="47" t="str">
        <f t="shared" si="7"/>
        <v/>
      </c>
      <c r="CG14" s="47" t="str">
        <f t="shared" si="7"/>
        <v/>
      </c>
      <c r="CH14" s="47" t="str">
        <f t="shared" si="7"/>
        <v/>
      </c>
      <c r="CI14" s="47" t="str">
        <f t="shared" si="7"/>
        <v/>
      </c>
      <c r="CJ14" s="47" t="str">
        <f t="shared" si="7"/>
        <v/>
      </c>
      <c r="CK14" s="47" t="str">
        <f t="shared" si="7"/>
        <v/>
      </c>
      <c r="CL14" s="47" t="str">
        <f t="shared" si="7"/>
        <v/>
      </c>
    </row>
    <row r="15" spans="1:90" x14ac:dyDescent="0.3">
      <c r="A15" s="28" t="str">
        <f>PERT!A18</f>
        <v>J</v>
      </c>
      <c r="B15" s="22" t="str">
        <f>PERT!B18</f>
        <v>Phát triển các màn hình nghiệp vụ</v>
      </c>
      <c r="C15" s="46">
        <f>PERT!K18</f>
        <v>33</v>
      </c>
      <c r="D15" s="46">
        <f>PERT!L18</f>
        <v>53.5</v>
      </c>
      <c r="E15" s="28" t="str">
        <f>PERT!P18</f>
        <v>Găng</v>
      </c>
      <c r="F15" s="47" t="str">
        <f t="shared" si="0"/>
        <v/>
      </c>
      <c r="G15" s="47" t="str">
        <f t="shared" si="0"/>
        <v/>
      </c>
      <c r="H15" s="47" t="str">
        <f t="shared" si="0"/>
        <v/>
      </c>
      <c r="I15" s="47" t="str">
        <f t="shared" si="0"/>
        <v/>
      </c>
      <c r="J15" s="47" t="str">
        <f t="shared" si="0"/>
        <v/>
      </c>
      <c r="K15" s="47" t="str">
        <f t="shared" si="0"/>
        <v/>
      </c>
      <c r="L15" s="47" t="str">
        <f t="shared" si="0"/>
        <v/>
      </c>
      <c r="M15" s="47" t="str">
        <f t="shared" si="0"/>
        <v/>
      </c>
      <c r="N15" s="47" t="str">
        <f t="shared" si="0"/>
        <v/>
      </c>
      <c r="O15" s="47" t="str">
        <f t="shared" si="0"/>
        <v/>
      </c>
      <c r="P15" s="47" t="str">
        <f t="shared" si="1"/>
        <v/>
      </c>
      <c r="Q15" s="47" t="str">
        <f t="shared" si="1"/>
        <v/>
      </c>
      <c r="R15" s="47" t="str">
        <f t="shared" si="1"/>
        <v/>
      </c>
      <c r="S15" s="47" t="str">
        <f t="shared" si="1"/>
        <v/>
      </c>
      <c r="T15" s="47" t="str">
        <f t="shared" si="1"/>
        <v/>
      </c>
      <c r="U15" s="47" t="str">
        <f t="shared" si="1"/>
        <v/>
      </c>
      <c r="V15" s="47" t="str">
        <f t="shared" si="1"/>
        <v/>
      </c>
      <c r="W15" s="47" t="str">
        <f t="shared" si="1"/>
        <v/>
      </c>
      <c r="X15" s="47" t="str">
        <f t="shared" si="1"/>
        <v/>
      </c>
      <c r="Y15" s="47" t="str">
        <f t="shared" si="1"/>
        <v/>
      </c>
      <c r="Z15" s="47" t="str">
        <f t="shared" si="2"/>
        <v/>
      </c>
      <c r="AA15" s="47" t="str">
        <f t="shared" si="2"/>
        <v/>
      </c>
      <c r="AB15" s="47" t="str">
        <f t="shared" si="2"/>
        <v/>
      </c>
      <c r="AC15" s="47" t="str">
        <f t="shared" si="2"/>
        <v/>
      </c>
      <c r="AD15" s="47" t="str">
        <f t="shared" si="2"/>
        <v/>
      </c>
      <c r="AE15" s="47" t="str">
        <f t="shared" si="2"/>
        <v/>
      </c>
      <c r="AF15" s="47" t="str">
        <f t="shared" si="2"/>
        <v/>
      </c>
      <c r="AG15" s="47" t="str">
        <f t="shared" si="2"/>
        <v/>
      </c>
      <c r="AH15" s="47" t="str">
        <f t="shared" si="2"/>
        <v/>
      </c>
      <c r="AI15" s="47" t="str">
        <f t="shared" si="2"/>
        <v/>
      </c>
      <c r="AJ15" s="47" t="str">
        <f t="shared" si="3"/>
        <v/>
      </c>
      <c r="AK15" s="47" t="str">
        <f t="shared" si="3"/>
        <v/>
      </c>
      <c r="AL15" s="47" t="str">
        <f t="shared" si="3"/>
        <v/>
      </c>
      <c r="AM15" s="47">
        <f t="shared" si="3"/>
        <v>1</v>
      </c>
      <c r="AN15" s="47">
        <f t="shared" si="3"/>
        <v>1</v>
      </c>
      <c r="AO15" s="47">
        <f t="shared" si="3"/>
        <v>1</v>
      </c>
      <c r="AP15" s="47">
        <f t="shared" si="3"/>
        <v>1</v>
      </c>
      <c r="AQ15" s="47">
        <f t="shared" si="3"/>
        <v>1</v>
      </c>
      <c r="AR15" s="47">
        <f t="shared" si="3"/>
        <v>1</v>
      </c>
      <c r="AS15" s="47">
        <f t="shared" si="3"/>
        <v>1</v>
      </c>
      <c r="AT15" s="47">
        <f t="shared" si="4"/>
        <v>1</v>
      </c>
      <c r="AU15" s="47">
        <f t="shared" si="4"/>
        <v>1</v>
      </c>
      <c r="AV15" s="47">
        <f t="shared" si="4"/>
        <v>1</v>
      </c>
      <c r="AW15" s="47">
        <f t="shared" si="4"/>
        <v>1</v>
      </c>
      <c r="AX15" s="47">
        <f t="shared" si="4"/>
        <v>1</v>
      </c>
      <c r="AY15" s="47">
        <f t="shared" si="4"/>
        <v>1</v>
      </c>
      <c r="AZ15" s="47">
        <f t="shared" si="4"/>
        <v>1</v>
      </c>
      <c r="BA15" s="47">
        <f t="shared" si="4"/>
        <v>1</v>
      </c>
      <c r="BB15" s="47">
        <f t="shared" si="4"/>
        <v>1</v>
      </c>
      <c r="BC15" s="47">
        <f t="shared" si="4"/>
        <v>1</v>
      </c>
      <c r="BD15" s="47">
        <f t="shared" si="5"/>
        <v>1</v>
      </c>
      <c r="BE15" s="47">
        <f t="shared" si="5"/>
        <v>1</v>
      </c>
      <c r="BF15" s="47">
        <f t="shared" si="5"/>
        <v>1</v>
      </c>
      <c r="BG15" s="47">
        <f t="shared" si="5"/>
        <v>1</v>
      </c>
      <c r="BH15" s="47" t="str">
        <f t="shared" si="5"/>
        <v/>
      </c>
      <c r="BI15" s="47" t="str">
        <f t="shared" si="5"/>
        <v/>
      </c>
      <c r="BJ15" s="47" t="str">
        <f t="shared" si="5"/>
        <v/>
      </c>
      <c r="BK15" s="47" t="str">
        <f t="shared" si="5"/>
        <v/>
      </c>
      <c r="BL15" s="47" t="str">
        <f t="shared" si="5"/>
        <v/>
      </c>
      <c r="BM15" s="47" t="str">
        <f t="shared" si="5"/>
        <v/>
      </c>
      <c r="BN15" s="47" t="str">
        <f t="shared" si="6"/>
        <v/>
      </c>
      <c r="BO15" s="47" t="str">
        <f t="shared" si="6"/>
        <v/>
      </c>
      <c r="BP15" s="47" t="str">
        <f t="shared" si="6"/>
        <v/>
      </c>
      <c r="BQ15" s="47" t="str">
        <f t="shared" si="6"/>
        <v/>
      </c>
      <c r="BR15" s="47" t="str">
        <f t="shared" si="6"/>
        <v/>
      </c>
      <c r="BS15" s="47" t="str">
        <f t="shared" si="6"/>
        <v/>
      </c>
      <c r="BT15" s="47" t="str">
        <f t="shared" si="6"/>
        <v/>
      </c>
      <c r="BU15" s="47" t="str">
        <f t="shared" si="6"/>
        <v/>
      </c>
      <c r="BV15" s="47" t="str">
        <f t="shared" si="6"/>
        <v/>
      </c>
      <c r="BW15" s="47" t="str">
        <f t="shared" si="6"/>
        <v/>
      </c>
      <c r="BX15" s="47" t="str">
        <f t="shared" si="7"/>
        <v/>
      </c>
      <c r="BY15" s="47" t="str">
        <f t="shared" si="7"/>
        <v/>
      </c>
      <c r="BZ15" s="47" t="str">
        <f t="shared" si="7"/>
        <v/>
      </c>
      <c r="CA15" s="47" t="str">
        <f t="shared" si="7"/>
        <v/>
      </c>
      <c r="CB15" s="47" t="str">
        <f t="shared" si="7"/>
        <v/>
      </c>
      <c r="CC15" s="47" t="str">
        <f t="shared" si="7"/>
        <v/>
      </c>
      <c r="CD15" s="47" t="str">
        <f t="shared" si="7"/>
        <v/>
      </c>
      <c r="CE15" s="47" t="str">
        <f t="shared" si="7"/>
        <v/>
      </c>
      <c r="CF15" s="47" t="str">
        <f t="shared" si="7"/>
        <v/>
      </c>
      <c r="CG15" s="47" t="str">
        <f t="shared" si="7"/>
        <v/>
      </c>
      <c r="CH15" s="47" t="str">
        <f t="shared" si="7"/>
        <v/>
      </c>
      <c r="CI15" s="47" t="str">
        <f t="shared" si="7"/>
        <v/>
      </c>
      <c r="CJ15" s="47" t="str">
        <f t="shared" si="7"/>
        <v/>
      </c>
      <c r="CK15" s="47" t="str">
        <f t="shared" si="7"/>
        <v/>
      </c>
      <c r="CL15" s="47" t="str">
        <f t="shared" si="7"/>
        <v/>
      </c>
    </row>
    <row r="16" spans="1:90" x14ac:dyDescent="0.3">
      <c r="A16" s="28" t="str">
        <f>PERT!A19</f>
        <v>K</v>
      </c>
      <c r="B16" s="22" t="str">
        <f>PERT!B19</f>
        <v>Chức năng xuất báo cáo CSV/PDF</v>
      </c>
      <c r="C16" s="46">
        <f>PERT!K19</f>
        <v>47.833333333333336</v>
      </c>
      <c r="D16" s="46">
        <f>PERT!L19</f>
        <v>53</v>
      </c>
      <c r="E16" s="28" t="str">
        <f>PERT!P19</f>
        <v/>
      </c>
      <c r="F16" s="47" t="str">
        <f t="shared" si="0"/>
        <v/>
      </c>
      <c r="G16" s="47" t="str">
        <f t="shared" si="0"/>
        <v/>
      </c>
      <c r="H16" s="47" t="str">
        <f t="shared" si="0"/>
        <v/>
      </c>
      <c r="I16" s="47" t="str">
        <f t="shared" si="0"/>
        <v/>
      </c>
      <c r="J16" s="47" t="str">
        <f t="shared" si="0"/>
        <v/>
      </c>
      <c r="K16" s="47" t="str">
        <f t="shared" si="0"/>
        <v/>
      </c>
      <c r="L16" s="47" t="str">
        <f t="shared" si="0"/>
        <v/>
      </c>
      <c r="M16" s="47" t="str">
        <f t="shared" si="0"/>
        <v/>
      </c>
      <c r="N16" s="47" t="str">
        <f t="shared" si="0"/>
        <v/>
      </c>
      <c r="O16" s="47" t="str">
        <f t="shared" si="0"/>
        <v/>
      </c>
      <c r="P16" s="47" t="str">
        <f t="shared" si="1"/>
        <v/>
      </c>
      <c r="Q16" s="47" t="str">
        <f t="shared" si="1"/>
        <v/>
      </c>
      <c r="R16" s="47" t="str">
        <f t="shared" si="1"/>
        <v/>
      </c>
      <c r="S16" s="47" t="str">
        <f t="shared" si="1"/>
        <v/>
      </c>
      <c r="T16" s="47" t="str">
        <f t="shared" si="1"/>
        <v/>
      </c>
      <c r="U16" s="47" t="str">
        <f t="shared" si="1"/>
        <v/>
      </c>
      <c r="V16" s="47" t="str">
        <f t="shared" si="1"/>
        <v/>
      </c>
      <c r="W16" s="47" t="str">
        <f t="shared" si="1"/>
        <v/>
      </c>
      <c r="X16" s="47" t="str">
        <f t="shared" si="1"/>
        <v/>
      </c>
      <c r="Y16" s="47" t="str">
        <f t="shared" si="1"/>
        <v/>
      </c>
      <c r="Z16" s="47" t="str">
        <f t="shared" si="2"/>
        <v/>
      </c>
      <c r="AA16" s="47" t="str">
        <f t="shared" si="2"/>
        <v/>
      </c>
      <c r="AB16" s="47" t="str">
        <f t="shared" si="2"/>
        <v/>
      </c>
      <c r="AC16" s="47" t="str">
        <f t="shared" si="2"/>
        <v/>
      </c>
      <c r="AD16" s="47" t="str">
        <f t="shared" si="2"/>
        <v/>
      </c>
      <c r="AE16" s="47" t="str">
        <f t="shared" si="2"/>
        <v/>
      </c>
      <c r="AF16" s="47" t="str">
        <f t="shared" si="2"/>
        <v/>
      </c>
      <c r="AG16" s="47" t="str">
        <f t="shared" si="2"/>
        <v/>
      </c>
      <c r="AH16" s="47" t="str">
        <f t="shared" si="2"/>
        <v/>
      </c>
      <c r="AI16" s="47" t="str">
        <f t="shared" si="2"/>
        <v/>
      </c>
      <c r="AJ16" s="47" t="str">
        <f t="shared" si="3"/>
        <v/>
      </c>
      <c r="AK16" s="47" t="str">
        <f t="shared" si="3"/>
        <v/>
      </c>
      <c r="AL16" s="47" t="str">
        <f t="shared" si="3"/>
        <v/>
      </c>
      <c r="AM16" s="47" t="str">
        <f t="shared" si="3"/>
        <v/>
      </c>
      <c r="AN16" s="47" t="str">
        <f t="shared" si="3"/>
        <v/>
      </c>
      <c r="AO16" s="47" t="str">
        <f t="shared" si="3"/>
        <v/>
      </c>
      <c r="AP16" s="47" t="str">
        <f t="shared" si="3"/>
        <v/>
      </c>
      <c r="AQ16" s="47" t="str">
        <f t="shared" si="3"/>
        <v/>
      </c>
      <c r="AR16" s="47" t="str">
        <f t="shared" si="3"/>
        <v/>
      </c>
      <c r="AS16" s="47" t="str">
        <f t="shared" si="3"/>
        <v/>
      </c>
      <c r="AT16" s="47" t="str">
        <f t="shared" si="4"/>
        <v/>
      </c>
      <c r="AU16" s="47" t="str">
        <f t="shared" si="4"/>
        <v/>
      </c>
      <c r="AV16" s="47" t="str">
        <f t="shared" si="4"/>
        <v/>
      </c>
      <c r="AW16" s="47" t="str">
        <f t="shared" si="4"/>
        <v/>
      </c>
      <c r="AX16" s="47" t="str">
        <f t="shared" si="4"/>
        <v/>
      </c>
      <c r="AY16" s="47" t="str">
        <f t="shared" si="4"/>
        <v/>
      </c>
      <c r="AZ16" s="47" t="str">
        <f t="shared" si="4"/>
        <v/>
      </c>
      <c r="BA16" s="47">
        <f t="shared" si="4"/>
        <v>1</v>
      </c>
      <c r="BB16" s="47">
        <f t="shared" si="4"/>
        <v>1</v>
      </c>
      <c r="BC16" s="47">
        <f t="shared" si="4"/>
        <v>1</v>
      </c>
      <c r="BD16" s="47">
        <f t="shared" si="5"/>
        <v>1</v>
      </c>
      <c r="BE16" s="47">
        <f t="shared" si="5"/>
        <v>1</v>
      </c>
      <c r="BF16" s="47">
        <f t="shared" si="5"/>
        <v>1</v>
      </c>
      <c r="BG16" s="47" t="str">
        <f t="shared" si="5"/>
        <v/>
      </c>
      <c r="BH16" s="47" t="str">
        <f t="shared" si="5"/>
        <v/>
      </c>
      <c r="BI16" s="47" t="str">
        <f t="shared" si="5"/>
        <v/>
      </c>
      <c r="BJ16" s="47" t="str">
        <f t="shared" si="5"/>
        <v/>
      </c>
      <c r="BK16" s="47" t="str">
        <f t="shared" si="5"/>
        <v/>
      </c>
      <c r="BL16" s="47" t="str">
        <f t="shared" si="5"/>
        <v/>
      </c>
      <c r="BM16" s="47" t="str">
        <f t="shared" si="5"/>
        <v/>
      </c>
      <c r="BN16" s="47" t="str">
        <f t="shared" si="6"/>
        <v/>
      </c>
      <c r="BO16" s="47" t="str">
        <f t="shared" si="6"/>
        <v/>
      </c>
      <c r="BP16" s="47" t="str">
        <f t="shared" si="6"/>
        <v/>
      </c>
      <c r="BQ16" s="47" t="str">
        <f t="shared" si="6"/>
        <v/>
      </c>
      <c r="BR16" s="47" t="str">
        <f t="shared" si="6"/>
        <v/>
      </c>
      <c r="BS16" s="47" t="str">
        <f t="shared" si="6"/>
        <v/>
      </c>
      <c r="BT16" s="47" t="str">
        <f t="shared" si="6"/>
        <v/>
      </c>
      <c r="BU16" s="47" t="str">
        <f t="shared" si="6"/>
        <v/>
      </c>
      <c r="BV16" s="47" t="str">
        <f t="shared" si="6"/>
        <v/>
      </c>
      <c r="BW16" s="47" t="str">
        <f t="shared" si="6"/>
        <v/>
      </c>
      <c r="BX16" s="47" t="str">
        <f t="shared" si="7"/>
        <v/>
      </c>
      <c r="BY16" s="47" t="str">
        <f t="shared" si="7"/>
        <v/>
      </c>
      <c r="BZ16" s="47" t="str">
        <f t="shared" si="7"/>
        <v/>
      </c>
      <c r="CA16" s="47" t="str">
        <f t="shared" si="7"/>
        <v/>
      </c>
      <c r="CB16" s="47" t="str">
        <f t="shared" si="7"/>
        <v/>
      </c>
      <c r="CC16" s="47" t="str">
        <f t="shared" si="7"/>
        <v/>
      </c>
      <c r="CD16" s="47" t="str">
        <f t="shared" si="7"/>
        <v/>
      </c>
      <c r="CE16" s="47" t="str">
        <f t="shared" si="7"/>
        <v/>
      </c>
      <c r="CF16" s="47" t="str">
        <f t="shared" si="7"/>
        <v/>
      </c>
      <c r="CG16" s="47" t="str">
        <f t="shared" si="7"/>
        <v/>
      </c>
      <c r="CH16" s="47" t="str">
        <f t="shared" si="7"/>
        <v/>
      </c>
      <c r="CI16" s="47" t="str">
        <f t="shared" si="7"/>
        <v/>
      </c>
      <c r="CJ16" s="47" t="str">
        <f t="shared" si="7"/>
        <v/>
      </c>
      <c r="CK16" s="47" t="str">
        <f t="shared" si="7"/>
        <v/>
      </c>
      <c r="CL16" s="47" t="str">
        <f t="shared" si="7"/>
        <v/>
      </c>
    </row>
    <row r="17" spans="1:90" x14ac:dyDescent="0.3">
      <c r="A17" s="28" t="str">
        <f>PERT!A20</f>
        <v>L</v>
      </c>
      <c r="B17" s="22" t="str">
        <f>PERT!B20</f>
        <v>Kế hoạch kiểm thử và test case</v>
      </c>
      <c r="C17" s="46">
        <f>PERT!K20</f>
        <v>17.666666666666668</v>
      </c>
      <c r="D17" s="46">
        <f>PERT!L20</f>
        <v>21.833333333333336</v>
      </c>
      <c r="E17" s="28" t="str">
        <f>PERT!P20</f>
        <v/>
      </c>
      <c r="F17" s="47" t="str">
        <f t="shared" si="0"/>
        <v/>
      </c>
      <c r="G17" s="47" t="str">
        <f t="shared" si="0"/>
        <v/>
      </c>
      <c r="H17" s="47" t="str">
        <f t="shared" si="0"/>
        <v/>
      </c>
      <c r="I17" s="47" t="str">
        <f t="shared" si="0"/>
        <v/>
      </c>
      <c r="J17" s="47" t="str">
        <f t="shared" si="0"/>
        <v/>
      </c>
      <c r="K17" s="47" t="str">
        <f t="shared" si="0"/>
        <v/>
      </c>
      <c r="L17" s="47" t="str">
        <f t="shared" si="0"/>
        <v/>
      </c>
      <c r="M17" s="47" t="str">
        <f t="shared" si="0"/>
        <v/>
      </c>
      <c r="N17" s="47" t="str">
        <f t="shared" si="0"/>
        <v/>
      </c>
      <c r="O17" s="47" t="str">
        <f t="shared" si="0"/>
        <v/>
      </c>
      <c r="P17" s="47" t="str">
        <f t="shared" si="1"/>
        <v/>
      </c>
      <c r="Q17" s="47" t="str">
        <f t="shared" si="1"/>
        <v/>
      </c>
      <c r="R17" s="47" t="str">
        <f t="shared" si="1"/>
        <v/>
      </c>
      <c r="S17" s="47" t="str">
        <f t="shared" si="1"/>
        <v/>
      </c>
      <c r="T17" s="47" t="str">
        <f t="shared" si="1"/>
        <v/>
      </c>
      <c r="U17" s="47" t="str">
        <f t="shared" si="1"/>
        <v/>
      </c>
      <c r="V17" s="47" t="str">
        <f t="shared" si="1"/>
        <v/>
      </c>
      <c r="W17" s="47">
        <f t="shared" si="1"/>
        <v>1</v>
      </c>
      <c r="X17" s="47">
        <f t="shared" si="1"/>
        <v>1</v>
      </c>
      <c r="Y17" s="47">
        <f t="shared" si="1"/>
        <v>1</v>
      </c>
      <c r="Z17" s="47">
        <f t="shared" si="2"/>
        <v>1</v>
      </c>
      <c r="AA17" s="47">
        <f t="shared" si="2"/>
        <v>1</v>
      </c>
      <c r="AB17" s="47" t="str">
        <f t="shared" si="2"/>
        <v/>
      </c>
      <c r="AC17" s="47" t="str">
        <f t="shared" si="2"/>
        <v/>
      </c>
      <c r="AD17" s="47" t="str">
        <f t="shared" si="2"/>
        <v/>
      </c>
      <c r="AE17" s="47" t="str">
        <f t="shared" si="2"/>
        <v/>
      </c>
      <c r="AF17" s="47" t="str">
        <f t="shared" si="2"/>
        <v/>
      </c>
      <c r="AG17" s="47" t="str">
        <f t="shared" si="2"/>
        <v/>
      </c>
      <c r="AH17" s="47" t="str">
        <f t="shared" si="2"/>
        <v/>
      </c>
      <c r="AI17" s="47" t="str">
        <f t="shared" si="2"/>
        <v/>
      </c>
      <c r="AJ17" s="47" t="str">
        <f t="shared" si="3"/>
        <v/>
      </c>
      <c r="AK17" s="47" t="str">
        <f t="shared" si="3"/>
        <v/>
      </c>
      <c r="AL17" s="47" t="str">
        <f t="shared" si="3"/>
        <v/>
      </c>
      <c r="AM17" s="47" t="str">
        <f t="shared" si="3"/>
        <v/>
      </c>
      <c r="AN17" s="47" t="str">
        <f t="shared" si="3"/>
        <v/>
      </c>
      <c r="AO17" s="47" t="str">
        <f t="shared" si="3"/>
        <v/>
      </c>
      <c r="AP17" s="47" t="str">
        <f t="shared" si="3"/>
        <v/>
      </c>
      <c r="AQ17" s="47" t="str">
        <f t="shared" si="3"/>
        <v/>
      </c>
      <c r="AR17" s="47" t="str">
        <f t="shared" si="3"/>
        <v/>
      </c>
      <c r="AS17" s="47" t="str">
        <f t="shared" si="3"/>
        <v/>
      </c>
      <c r="AT17" s="47" t="str">
        <f t="shared" si="4"/>
        <v/>
      </c>
      <c r="AU17" s="47" t="str">
        <f t="shared" si="4"/>
        <v/>
      </c>
      <c r="AV17" s="47" t="str">
        <f t="shared" si="4"/>
        <v/>
      </c>
      <c r="AW17" s="47" t="str">
        <f t="shared" si="4"/>
        <v/>
      </c>
      <c r="AX17" s="47" t="str">
        <f t="shared" si="4"/>
        <v/>
      </c>
      <c r="AY17" s="47" t="str">
        <f t="shared" si="4"/>
        <v/>
      </c>
      <c r="AZ17" s="47" t="str">
        <f t="shared" si="4"/>
        <v/>
      </c>
      <c r="BA17" s="47" t="str">
        <f t="shared" si="4"/>
        <v/>
      </c>
      <c r="BB17" s="47" t="str">
        <f t="shared" si="4"/>
        <v/>
      </c>
      <c r="BC17" s="47" t="str">
        <f t="shared" si="4"/>
        <v/>
      </c>
      <c r="BD17" s="47" t="str">
        <f t="shared" si="5"/>
        <v/>
      </c>
      <c r="BE17" s="47" t="str">
        <f t="shared" si="5"/>
        <v/>
      </c>
      <c r="BF17" s="47" t="str">
        <f t="shared" si="5"/>
        <v/>
      </c>
      <c r="BG17" s="47" t="str">
        <f t="shared" si="5"/>
        <v/>
      </c>
      <c r="BH17" s="47" t="str">
        <f t="shared" si="5"/>
        <v/>
      </c>
      <c r="BI17" s="47" t="str">
        <f t="shared" si="5"/>
        <v/>
      </c>
      <c r="BJ17" s="47" t="str">
        <f t="shared" si="5"/>
        <v/>
      </c>
      <c r="BK17" s="47" t="str">
        <f t="shared" si="5"/>
        <v/>
      </c>
      <c r="BL17" s="47" t="str">
        <f t="shared" si="5"/>
        <v/>
      </c>
      <c r="BM17" s="47" t="str">
        <f t="shared" si="5"/>
        <v/>
      </c>
      <c r="BN17" s="47" t="str">
        <f t="shared" si="6"/>
        <v/>
      </c>
      <c r="BO17" s="47" t="str">
        <f t="shared" si="6"/>
        <v/>
      </c>
      <c r="BP17" s="47" t="str">
        <f t="shared" si="6"/>
        <v/>
      </c>
      <c r="BQ17" s="47" t="str">
        <f t="shared" si="6"/>
        <v/>
      </c>
      <c r="BR17" s="47" t="str">
        <f t="shared" si="6"/>
        <v/>
      </c>
      <c r="BS17" s="47" t="str">
        <f t="shared" si="6"/>
        <v/>
      </c>
      <c r="BT17" s="47" t="str">
        <f t="shared" si="6"/>
        <v/>
      </c>
      <c r="BU17" s="47" t="str">
        <f t="shared" si="6"/>
        <v/>
      </c>
      <c r="BV17" s="47" t="str">
        <f t="shared" si="6"/>
        <v/>
      </c>
      <c r="BW17" s="47" t="str">
        <f t="shared" si="6"/>
        <v/>
      </c>
      <c r="BX17" s="47" t="str">
        <f t="shared" si="7"/>
        <v/>
      </c>
      <c r="BY17" s="47" t="str">
        <f t="shared" si="7"/>
        <v/>
      </c>
      <c r="BZ17" s="47" t="str">
        <f t="shared" si="7"/>
        <v/>
      </c>
      <c r="CA17" s="47" t="str">
        <f t="shared" si="7"/>
        <v/>
      </c>
      <c r="CB17" s="47" t="str">
        <f t="shared" si="7"/>
        <v/>
      </c>
      <c r="CC17" s="47" t="str">
        <f t="shared" si="7"/>
        <v/>
      </c>
      <c r="CD17" s="47" t="str">
        <f t="shared" si="7"/>
        <v/>
      </c>
      <c r="CE17" s="47" t="str">
        <f t="shared" si="7"/>
        <v/>
      </c>
      <c r="CF17" s="47" t="str">
        <f t="shared" si="7"/>
        <v/>
      </c>
      <c r="CG17" s="47" t="str">
        <f t="shared" si="7"/>
        <v/>
      </c>
      <c r="CH17" s="47" t="str">
        <f t="shared" si="7"/>
        <v/>
      </c>
      <c r="CI17" s="47" t="str">
        <f t="shared" si="7"/>
        <v/>
      </c>
      <c r="CJ17" s="47" t="str">
        <f t="shared" si="7"/>
        <v/>
      </c>
      <c r="CK17" s="47" t="str">
        <f t="shared" si="7"/>
        <v/>
      </c>
      <c r="CL17" s="47" t="str">
        <f t="shared" si="7"/>
        <v/>
      </c>
    </row>
    <row r="18" spans="1:90" x14ac:dyDescent="0.3">
      <c r="A18" s="28" t="str">
        <f>PERT!A21</f>
        <v>M</v>
      </c>
      <c r="B18" s="22" t="str">
        <f>PERT!B21</f>
        <v>Kiểm thử hệ thống và sửa lỗi</v>
      </c>
      <c r="C18" s="46">
        <f>PERT!K21</f>
        <v>53.5</v>
      </c>
      <c r="D18" s="46">
        <f>PERT!L21</f>
        <v>65.833333333333329</v>
      </c>
      <c r="E18" s="28" t="str">
        <f>PERT!P21</f>
        <v>Găng</v>
      </c>
      <c r="F18" s="47" t="str">
        <f t="shared" si="0"/>
        <v/>
      </c>
      <c r="G18" s="47" t="str">
        <f t="shared" si="0"/>
        <v/>
      </c>
      <c r="H18" s="47" t="str">
        <f t="shared" si="0"/>
        <v/>
      </c>
      <c r="I18" s="47" t="str">
        <f t="shared" si="0"/>
        <v/>
      </c>
      <c r="J18" s="47" t="str">
        <f t="shared" si="0"/>
        <v/>
      </c>
      <c r="K18" s="47" t="str">
        <f t="shared" si="0"/>
        <v/>
      </c>
      <c r="L18" s="47" t="str">
        <f t="shared" si="0"/>
        <v/>
      </c>
      <c r="M18" s="47" t="str">
        <f t="shared" si="0"/>
        <v/>
      </c>
      <c r="N18" s="47" t="str">
        <f t="shared" si="0"/>
        <v/>
      </c>
      <c r="O18" s="47" t="str">
        <f t="shared" si="0"/>
        <v/>
      </c>
      <c r="P18" s="47" t="str">
        <f t="shared" si="1"/>
        <v/>
      </c>
      <c r="Q18" s="47" t="str">
        <f t="shared" si="1"/>
        <v/>
      </c>
      <c r="R18" s="47" t="str">
        <f t="shared" si="1"/>
        <v/>
      </c>
      <c r="S18" s="47" t="str">
        <f t="shared" si="1"/>
        <v/>
      </c>
      <c r="T18" s="47" t="str">
        <f t="shared" si="1"/>
        <v/>
      </c>
      <c r="U18" s="47" t="str">
        <f t="shared" si="1"/>
        <v/>
      </c>
      <c r="V18" s="47" t="str">
        <f t="shared" si="1"/>
        <v/>
      </c>
      <c r="W18" s="47" t="str">
        <f t="shared" si="1"/>
        <v/>
      </c>
      <c r="X18" s="47" t="str">
        <f t="shared" si="1"/>
        <v/>
      </c>
      <c r="Y18" s="47" t="str">
        <f t="shared" si="1"/>
        <v/>
      </c>
      <c r="Z18" s="47" t="str">
        <f t="shared" si="2"/>
        <v/>
      </c>
      <c r="AA18" s="47" t="str">
        <f t="shared" si="2"/>
        <v/>
      </c>
      <c r="AB18" s="47" t="str">
        <f t="shared" si="2"/>
        <v/>
      </c>
      <c r="AC18" s="47" t="str">
        <f t="shared" si="2"/>
        <v/>
      </c>
      <c r="AD18" s="47" t="str">
        <f t="shared" si="2"/>
        <v/>
      </c>
      <c r="AE18" s="47" t="str">
        <f t="shared" si="2"/>
        <v/>
      </c>
      <c r="AF18" s="47" t="str">
        <f t="shared" si="2"/>
        <v/>
      </c>
      <c r="AG18" s="47" t="str">
        <f t="shared" si="2"/>
        <v/>
      </c>
      <c r="AH18" s="47" t="str">
        <f t="shared" si="2"/>
        <v/>
      </c>
      <c r="AI18" s="47" t="str">
        <f t="shared" si="2"/>
        <v/>
      </c>
      <c r="AJ18" s="47" t="str">
        <f t="shared" si="3"/>
        <v/>
      </c>
      <c r="AK18" s="47" t="str">
        <f t="shared" si="3"/>
        <v/>
      </c>
      <c r="AL18" s="47" t="str">
        <f t="shared" si="3"/>
        <v/>
      </c>
      <c r="AM18" s="47" t="str">
        <f t="shared" si="3"/>
        <v/>
      </c>
      <c r="AN18" s="47" t="str">
        <f t="shared" si="3"/>
        <v/>
      </c>
      <c r="AO18" s="47" t="str">
        <f t="shared" si="3"/>
        <v/>
      </c>
      <c r="AP18" s="47" t="str">
        <f t="shared" si="3"/>
        <v/>
      </c>
      <c r="AQ18" s="47" t="str">
        <f t="shared" si="3"/>
        <v/>
      </c>
      <c r="AR18" s="47" t="str">
        <f t="shared" si="3"/>
        <v/>
      </c>
      <c r="AS18" s="47" t="str">
        <f t="shared" si="3"/>
        <v/>
      </c>
      <c r="AT18" s="47" t="str">
        <f t="shared" si="4"/>
        <v/>
      </c>
      <c r="AU18" s="47" t="str">
        <f t="shared" si="4"/>
        <v/>
      </c>
      <c r="AV18" s="47" t="str">
        <f t="shared" si="4"/>
        <v/>
      </c>
      <c r="AW18" s="47" t="str">
        <f t="shared" si="4"/>
        <v/>
      </c>
      <c r="AX18" s="47" t="str">
        <f t="shared" si="4"/>
        <v/>
      </c>
      <c r="AY18" s="47" t="str">
        <f t="shared" si="4"/>
        <v/>
      </c>
      <c r="AZ18" s="47" t="str">
        <f t="shared" si="4"/>
        <v/>
      </c>
      <c r="BA18" s="47" t="str">
        <f t="shared" si="4"/>
        <v/>
      </c>
      <c r="BB18" s="47" t="str">
        <f t="shared" si="4"/>
        <v/>
      </c>
      <c r="BC18" s="47" t="str">
        <f t="shared" si="4"/>
        <v/>
      </c>
      <c r="BD18" s="47" t="str">
        <f t="shared" si="5"/>
        <v/>
      </c>
      <c r="BE18" s="47" t="str">
        <f t="shared" si="5"/>
        <v/>
      </c>
      <c r="BF18" s="47" t="str">
        <f t="shared" si="5"/>
        <v/>
      </c>
      <c r="BG18" s="47">
        <f t="shared" si="5"/>
        <v>1</v>
      </c>
      <c r="BH18" s="47">
        <f t="shared" si="5"/>
        <v>1</v>
      </c>
      <c r="BI18" s="47">
        <f t="shared" si="5"/>
        <v>1</v>
      </c>
      <c r="BJ18" s="47">
        <f t="shared" si="5"/>
        <v>1</v>
      </c>
      <c r="BK18" s="47">
        <f t="shared" si="5"/>
        <v>1</v>
      </c>
      <c r="BL18" s="47">
        <f t="shared" si="5"/>
        <v>1</v>
      </c>
      <c r="BM18" s="47">
        <f t="shared" si="5"/>
        <v>1</v>
      </c>
      <c r="BN18" s="47">
        <f t="shared" si="6"/>
        <v>1</v>
      </c>
      <c r="BO18" s="47">
        <f t="shared" si="6"/>
        <v>1</v>
      </c>
      <c r="BP18" s="47">
        <f t="shared" si="6"/>
        <v>1</v>
      </c>
      <c r="BQ18" s="47">
        <f t="shared" si="6"/>
        <v>1</v>
      </c>
      <c r="BR18" s="47">
        <f t="shared" si="6"/>
        <v>1</v>
      </c>
      <c r="BS18" s="47">
        <f t="shared" si="6"/>
        <v>1</v>
      </c>
      <c r="BT18" s="47" t="str">
        <f t="shared" si="6"/>
        <v/>
      </c>
      <c r="BU18" s="47" t="str">
        <f t="shared" si="6"/>
        <v/>
      </c>
      <c r="BV18" s="47" t="str">
        <f t="shared" si="6"/>
        <v/>
      </c>
      <c r="BW18" s="47" t="str">
        <f t="shared" si="6"/>
        <v/>
      </c>
      <c r="BX18" s="47" t="str">
        <f t="shared" si="7"/>
        <v/>
      </c>
      <c r="BY18" s="47" t="str">
        <f t="shared" si="7"/>
        <v/>
      </c>
      <c r="BZ18" s="47" t="str">
        <f t="shared" si="7"/>
        <v/>
      </c>
      <c r="CA18" s="47" t="str">
        <f t="shared" si="7"/>
        <v/>
      </c>
      <c r="CB18" s="47" t="str">
        <f t="shared" si="7"/>
        <v/>
      </c>
      <c r="CC18" s="47" t="str">
        <f t="shared" si="7"/>
        <v/>
      </c>
      <c r="CD18" s="47" t="str">
        <f t="shared" si="7"/>
        <v/>
      </c>
      <c r="CE18" s="47" t="str">
        <f t="shared" si="7"/>
        <v/>
      </c>
      <c r="CF18" s="47" t="str">
        <f t="shared" si="7"/>
        <v/>
      </c>
      <c r="CG18" s="47" t="str">
        <f t="shared" si="7"/>
        <v/>
      </c>
      <c r="CH18" s="47" t="str">
        <f t="shared" si="7"/>
        <v/>
      </c>
      <c r="CI18" s="47" t="str">
        <f t="shared" si="7"/>
        <v/>
      </c>
      <c r="CJ18" s="47" t="str">
        <f t="shared" si="7"/>
        <v/>
      </c>
      <c r="CK18" s="47" t="str">
        <f t="shared" si="7"/>
        <v/>
      </c>
      <c r="CL18" s="47" t="str">
        <f t="shared" si="7"/>
        <v/>
      </c>
    </row>
    <row r="19" spans="1:90" x14ac:dyDescent="0.3">
      <c r="A19" s="28" t="str">
        <f>PERT!A22</f>
        <v>N</v>
      </c>
      <c r="B19" s="22" t="str">
        <f>PERT!B22</f>
        <v>Kiểm thử chấp nhận (UAT) và nghiệm thu</v>
      </c>
      <c r="C19" s="46">
        <f>PERT!K22</f>
        <v>65.833333333333329</v>
      </c>
      <c r="D19" s="46">
        <f>PERT!L22</f>
        <v>71</v>
      </c>
      <c r="E19" s="28" t="str">
        <f>PERT!P22</f>
        <v>Găng</v>
      </c>
      <c r="F19" s="47" t="str">
        <f t="shared" si="0"/>
        <v/>
      </c>
      <c r="G19" s="47" t="str">
        <f t="shared" si="0"/>
        <v/>
      </c>
      <c r="H19" s="47" t="str">
        <f t="shared" si="0"/>
        <v/>
      </c>
      <c r="I19" s="47" t="str">
        <f t="shared" si="0"/>
        <v/>
      </c>
      <c r="J19" s="47" t="str">
        <f t="shared" si="0"/>
        <v/>
      </c>
      <c r="K19" s="47" t="str">
        <f t="shared" si="0"/>
        <v/>
      </c>
      <c r="L19" s="47" t="str">
        <f t="shared" si="0"/>
        <v/>
      </c>
      <c r="M19" s="47" t="str">
        <f t="shared" si="0"/>
        <v/>
      </c>
      <c r="N19" s="47" t="str">
        <f t="shared" si="0"/>
        <v/>
      </c>
      <c r="O19" s="47" t="str">
        <f t="shared" si="0"/>
        <v/>
      </c>
      <c r="P19" s="47" t="str">
        <f t="shared" si="1"/>
        <v/>
      </c>
      <c r="Q19" s="47" t="str">
        <f t="shared" si="1"/>
        <v/>
      </c>
      <c r="R19" s="47" t="str">
        <f t="shared" si="1"/>
        <v/>
      </c>
      <c r="S19" s="47" t="str">
        <f t="shared" si="1"/>
        <v/>
      </c>
      <c r="T19" s="47" t="str">
        <f t="shared" si="1"/>
        <v/>
      </c>
      <c r="U19" s="47" t="str">
        <f t="shared" si="1"/>
        <v/>
      </c>
      <c r="V19" s="47" t="str">
        <f t="shared" si="1"/>
        <v/>
      </c>
      <c r="W19" s="47" t="str">
        <f t="shared" si="1"/>
        <v/>
      </c>
      <c r="X19" s="47" t="str">
        <f t="shared" si="1"/>
        <v/>
      </c>
      <c r="Y19" s="47" t="str">
        <f t="shared" si="1"/>
        <v/>
      </c>
      <c r="Z19" s="47" t="str">
        <f t="shared" si="2"/>
        <v/>
      </c>
      <c r="AA19" s="47" t="str">
        <f t="shared" si="2"/>
        <v/>
      </c>
      <c r="AB19" s="47" t="str">
        <f t="shared" si="2"/>
        <v/>
      </c>
      <c r="AC19" s="47" t="str">
        <f t="shared" si="2"/>
        <v/>
      </c>
      <c r="AD19" s="47" t="str">
        <f t="shared" si="2"/>
        <v/>
      </c>
      <c r="AE19" s="47" t="str">
        <f t="shared" si="2"/>
        <v/>
      </c>
      <c r="AF19" s="47" t="str">
        <f t="shared" si="2"/>
        <v/>
      </c>
      <c r="AG19" s="47" t="str">
        <f t="shared" si="2"/>
        <v/>
      </c>
      <c r="AH19" s="47" t="str">
        <f t="shared" si="2"/>
        <v/>
      </c>
      <c r="AI19" s="47" t="str">
        <f t="shared" si="2"/>
        <v/>
      </c>
      <c r="AJ19" s="47" t="str">
        <f t="shared" si="3"/>
        <v/>
      </c>
      <c r="AK19" s="47" t="str">
        <f t="shared" si="3"/>
        <v/>
      </c>
      <c r="AL19" s="47" t="str">
        <f t="shared" si="3"/>
        <v/>
      </c>
      <c r="AM19" s="47" t="str">
        <f t="shared" si="3"/>
        <v/>
      </c>
      <c r="AN19" s="47" t="str">
        <f t="shared" si="3"/>
        <v/>
      </c>
      <c r="AO19" s="47" t="str">
        <f t="shared" si="3"/>
        <v/>
      </c>
      <c r="AP19" s="47" t="str">
        <f t="shared" si="3"/>
        <v/>
      </c>
      <c r="AQ19" s="47" t="str">
        <f t="shared" si="3"/>
        <v/>
      </c>
      <c r="AR19" s="47" t="str">
        <f t="shared" si="3"/>
        <v/>
      </c>
      <c r="AS19" s="47" t="str">
        <f t="shared" si="3"/>
        <v/>
      </c>
      <c r="AT19" s="47" t="str">
        <f t="shared" si="4"/>
        <v/>
      </c>
      <c r="AU19" s="47" t="str">
        <f t="shared" si="4"/>
        <v/>
      </c>
      <c r="AV19" s="47" t="str">
        <f t="shared" si="4"/>
        <v/>
      </c>
      <c r="AW19" s="47" t="str">
        <f t="shared" si="4"/>
        <v/>
      </c>
      <c r="AX19" s="47" t="str">
        <f t="shared" si="4"/>
        <v/>
      </c>
      <c r="AY19" s="47" t="str">
        <f t="shared" si="4"/>
        <v/>
      </c>
      <c r="AZ19" s="47" t="str">
        <f t="shared" si="4"/>
        <v/>
      </c>
      <c r="BA19" s="47" t="str">
        <f t="shared" si="4"/>
        <v/>
      </c>
      <c r="BB19" s="47" t="str">
        <f t="shared" si="4"/>
        <v/>
      </c>
      <c r="BC19" s="47" t="str">
        <f t="shared" si="4"/>
        <v/>
      </c>
      <c r="BD19" s="47" t="str">
        <f t="shared" si="5"/>
        <v/>
      </c>
      <c r="BE19" s="47" t="str">
        <f t="shared" si="5"/>
        <v/>
      </c>
      <c r="BF19" s="47" t="str">
        <f t="shared" si="5"/>
        <v/>
      </c>
      <c r="BG19" s="47" t="str">
        <f t="shared" si="5"/>
        <v/>
      </c>
      <c r="BH19" s="47" t="str">
        <f t="shared" si="5"/>
        <v/>
      </c>
      <c r="BI19" s="47" t="str">
        <f t="shared" si="5"/>
        <v/>
      </c>
      <c r="BJ19" s="47" t="str">
        <f t="shared" si="5"/>
        <v/>
      </c>
      <c r="BK19" s="47" t="str">
        <f t="shared" si="5"/>
        <v/>
      </c>
      <c r="BL19" s="47" t="str">
        <f t="shared" si="5"/>
        <v/>
      </c>
      <c r="BM19" s="47" t="str">
        <f t="shared" si="5"/>
        <v/>
      </c>
      <c r="BN19" s="47" t="str">
        <f t="shared" si="6"/>
        <v/>
      </c>
      <c r="BO19" s="47" t="str">
        <f t="shared" si="6"/>
        <v/>
      </c>
      <c r="BP19" s="47" t="str">
        <f t="shared" si="6"/>
        <v/>
      </c>
      <c r="BQ19" s="47" t="str">
        <f t="shared" si="6"/>
        <v/>
      </c>
      <c r="BR19" s="47" t="str">
        <f t="shared" si="6"/>
        <v/>
      </c>
      <c r="BS19" s="47">
        <f t="shared" si="6"/>
        <v>1</v>
      </c>
      <c r="BT19" s="47">
        <f t="shared" si="6"/>
        <v>1</v>
      </c>
      <c r="BU19" s="47">
        <f t="shared" si="6"/>
        <v>1</v>
      </c>
      <c r="BV19" s="47">
        <f t="shared" si="6"/>
        <v>1</v>
      </c>
      <c r="BW19" s="47">
        <f t="shared" si="6"/>
        <v>1</v>
      </c>
      <c r="BX19" s="47">
        <f t="shared" si="7"/>
        <v>1</v>
      </c>
      <c r="BY19" s="47" t="str">
        <f t="shared" si="7"/>
        <v/>
      </c>
      <c r="BZ19" s="47" t="str">
        <f t="shared" si="7"/>
        <v/>
      </c>
      <c r="CA19" s="47" t="str">
        <f t="shared" si="7"/>
        <v/>
      </c>
      <c r="CB19" s="47" t="str">
        <f t="shared" si="7"/>
        <v/>
      </c>
      <c r="CC19" s="47" t="str">
        <f t="shared" si="7"/>
        <v/>
      </c>
      <c r="CD19" s="47" t="str">
        <f t="shared" si="7"/>
        <v/>
      </c>
      <c r="CE19" s="47" t="str">
        <f t="shared" si="7"/>
        <v/>
      </c>
      <c r="CF19" s="47" t="str">
        <f t="shared" si="7"/>
        <v/>
      </c>
      <c r="CG19" s="47" t="str">
        <f t="shared" si="7"/>
        <v/>
      </c>
      <c r="CH19" s="47" t="str">
        <f t="shared" si="7"/>
        <v/>
      </c>
      <c r="CI19" s="47" t="str">
        <f t="shared" si="7"/>
        <v/>
      </c>
      <c r="CJ19" s="47" t="str">
        <f t="shared" si="7"/>
        <v/>
      </c>
      <c r="CK19" s="47" t="str">
        <f t="shared" si="7"/>
        <v/>
      </c>
      <c r="CL19" s="47" t="str">
        <f t="shared" si="7"/>
        <v/>
      </c>
    </row>
    <row r="20" spans="1:90" x14ac:dyDescent="0.3">
      <c r="A20" s="28" t="str">
        <f>PERT!A23</f>
        <v>O</v>
      </c>
      <c r="B20" s="22" t="str">
        <f>PERT!B23</f>
        <v>Go-live, đào tạo người dùng</v>
      </c>
      <c r="C20" s="46">
        <f>PERT!K23</f>
        <v>71</v>
      </c>
      <c r="D20" s="46">
        <f>PERT!L23</f>
        <v>75.333333333333329</v>
      </c>
      <c r="E20" s="28" t="str">
        <f>PERT!P23</f>
        <v>Găng</v>
      </c>
      <c r="F20" s="47" t="str">
        <f t="shared" si="0"/>
        <v/>
      </c>
      <c r="G20" s="47" t="str">
        <f t="shared" si="0"/>
        <v/>
      </c>
      <c r="H20" s="47" t="str">
        <f t="shared" si="0"/>
        <v/>
      </c>
      <c r="I20" s="47" t="str">
        <f t="shared" si="0"/>
        <v/>
      </c>
      <c r="J20" s="47" t="str">
        <f t="shared" si="0"/>
        <v/>
      </c>
      <c r="K20" s="47" t="str">
        <f t="shared" si="0"/>
        <v/>
      </c>
      <c r="L20" s="47" t="str">
        <f t="shared" si="0"/>
        <v/>
      </c>
      <c r="M20" s="47" t="str">
        <f t="shared" si="0"/>
        <v/>
      </c>
      <c r="N20" s="47" t="str">
        <f t="shared" si="0"/>
        <v/>
      </c>
      <c r="O20" s="47" t="str">
        <f t="shared" si="0"/>
        <v/>
      </c>
      <c r="P20" s="47" t="str">
        <f t="shared" si="1"/>
        <v/>
      </c>
      <c r="Q20" s="47" t="str">
        <f t="shared" si="1"/>
        <v/>
      </c>
      <c r="R20" s="47" t="str">
        <f t="shared" si="1"/>
        <v/>
      </c>
      <c r="S20" s="47" t="str">
        <f t="shared" si="1"/>
        <v/>
      </c>
      <c r="T20" s="47" t="str">
        <f t="shared" si="1"/>
        <v/>
      </c>
      <c r="U20" s="47" t="str">
        <f t="shared" si="1"/>
        <v/>
      </c>
      <c r="V20" s="47" t="str">
        <f t="shared" si="1"/>
        <v/>
      </c>
      <c r="W20" s="47" t="str">
        <f t="shared" si="1"/>
        <v/>
      </c>
      <c r="X20" s="47" t="str">
        <f t="shared" si="1"/>
        <v/>
      </c>
      <c r="Y20" s="47" t="str">
        <f t="shared" si="1"/>
        <v/>
      </c>
      <c r="Z20" s="47" t="str">
        <f t="shared" si="2"/>
        <v/>
      </c>
      <c r="AA20" s="47" t="str">
        <f t="shared" si="2"/>
        <v/>
      </c>
      <c r="AB20" s="47" t="str">
        <f t="shared" si="2"/>
        <v/>
      </c>
      <c r="AC20" s="47" t="str">
        <f t="shared" si="2"/>
        <v/>
      </c>
      <c r="AD20" s="47" t="str">
        <f t="shared" si="2"/>
        <v/>
      </c>
      <c r="AE20" s="47" t="str">
        <f t="shared" si="2"/>
        <v/>
      </c>
      <c r="AF20" s="47" t="str">
        <f t="shared" si="2"/>
        <v/>
      </c>
      <c r="AG20" s="47" t="str">
        <f t="shared" si="2"/>
        <v/>
      </c>
      <c r="AH20" s="47" t="str">
        <f t="shared" si="2"/>
        <v/>
      </c>
      <c r="AI20" s="47" t="str">
        <f t="shared" si="2"/>
        <v/>
      </c>
      <c r="AJ20" s="47" t="str">
        <f t="shared" si="3"/>
        <v/>
      </c>
      <c r="AK20" s="47" t="str">
        <f t="shared" si="3"/>
        <v/>
      </c>
      <c r="AL20" s="47" t="str">
        <f t="shared" si="3"/>
        <v/>
      </c>
      <c r="AM20" s="47" t="str">
        <f t="shared" si="3"/>
        <v/>
      </c>
      <c r="AN20" s="47" t="str">
        <f t="shared" si="3"/>
        <v/>
      </c>
      <c r="AO20" s="47" t="str">
        <f t="shared" si="3"/>
        <v/>
      </c>
      <c r="AP20" s="47" t="str">
        <f t="shared" si="3"/>
        <v/>
      </c>
      <c r="AQ20" s="47" t="str">
        <f t="shared" si="3"/>
        <v/>
      </c>
      <c r="AR20" s="47" t="str">
        <f t="shared" si="3"/>
        <v/>
      </c>
      <c r="AS20" s="47" t="str">
        <f t="shared" si="3"/>
        <v/>
      </c>
      <c r="AT20" s="47" t="str">
        <f t="shared" si="4"/>
        <v/>
      </c>
      <c r="AU20" s="47" t="str">
        <f t="shared" si="4"/>
        <v/>
      </c>
      <c r="AV20" s="47" t="str">
        <f t="shared" si="4"/>
        <v/>
      </c>
      <c r="AW20" s="47" t="str">
        <f t="shared" si="4"/>
        <v/>
      </c>
      <c r="AX20" s="47" t="str">
        <f t="shared" si="4"/>
        <v/>
      </c>
      <c r="AY20" s="47" t="str">
        <f t="shared" si="4"/>
        <v/>
      </c>
      <c r="AZ20" s="47" t="str">
        <f t="shared" si="4"/>
        <v/>
      </c>
      <c r="BA20" s="47" t="str">
        <f t="shared" si="4"/>
        <v/>
      </c>
      <c r="BB20" s="47" t="str">
        <f t="shared" si="4"/>
        <v/>
      </c>
      <c r="BC20" s="47" t="str">
        <f t="shared" si="4"/>
        <v/>
      </c>
      <c r="BD20" s="47" t="str">
        <f t="shared" si="5"/>
        <v/>
      </c>
      <c r="BE20" s="47" t="str">
        <f t="shared" si="5"/>
        <v/>
      </c>
      <c r="BF20" s="47" t="str">
        <f t="shared" si="5"/>
        <v/>
      </c>
      <c r="BG20" s="47" t="str">
        <f t="shared" si="5"/>
        <v/>
      </c>
      <c r="BH20" s="47" t="str">
        <f t="shared" si="5"/>
        <v/>
      </c>
      <c r="BI20" s="47" t="str">
        <f t="shared" si="5"/>
        <v/>
      </c>
      <c r="BJ20" s="47" t="str">
        <f t="shared" si="5"/>
        <v/>
      </c>
      <c r="BK20" s="47" t="str">
        <f t="shared" si="5"/>
        <v/>
      </c>
      <c r="BL20" s="47" t="str">
        <f t="shared" si="5"/>
        <v/>
      </c>
      <c r="BM20" s="47" t="str">
        <f t="shared" si="5"/>
        <v/>
      </c>
      <c r="BN20" s="47" t="str">
        <f t="shared" si="6"/>
        <v/>
      </c>
      <c r="BO20" s="47" t="str">
        <f t="shared" si="6"/>
        <v/>
      </c>
      <c r="BP20" s="47" t="str">
        <f t="shared" si="6"/>
        <v/>
      </c>
      <c r="BQ20" s="47" t="str">
        <f t="shared" si="6"/>
        <v/>
      </c>
      <c r="BR20" s="47" t="str">
        <f t="shared" si="6"/>
        <v/>
      </c>
      <c r="BS20" s="47" t="str">
        <f t="shared" si="6"/>
        <v/>
      </c>
      <c r="BT20" s="47" t="str">
        <f t="shared" si="6"/>
        <v/>
      </c>
      <c r="BU20" s="47" t="str">
        <f t="shared" si="6"/>
        <v/>
      </c>
      <c r="BV20" s="47" t="str">
        <f t="shared" si="6"/>
        <v/>
      </c>
      <c r="BW20" s="47" t="str">
        <f t="shared" si="6"/>
        <v/>
      </c>
      <c r="BX20" s="47" t="str">
        <f t="shared" si="7"/>
        <v/>
      </c>
      <c r="BY20" s="47">
        <f t="shared" si="7"/>
        <v>1</v>
      </c>
      <c r="BZ20" s="47">
        <f t="shared" si="7"/>
        <v>1</v>
      </c>
      <c r="CA20" s="47">
        <f t="shared" si="7"/>
        <v>1</v>
      </c>
      <c r="CB20" s="47">
        <f t="shared" si="7"/>
        <v>1</v>
      </c>
      <c r="CC20" s="47">
        <f t="shared" si="7"/>
        <v>1</v>
      </c>
      <c r="CD20" s="47" t="str">
        <f t="shared" si="7"/>
        <v/>
      </c>
      <c r="CE20" s="47" t="str">
        <f t="shared" si="7"/>
        <v/>
      </c>
      <c r="CF20" s="47" t="str">
        <f t="shared" si="7"/>
        <v/>
      </c>
      <c r="CG20" s="47" t="str">
        <f t="shared" si="7"/>
        <v/>
      </c>
      <c r="CH20" s="47" t="str">
        <f t="shared" si="7"/>
        <v/>
      </c>
      <c r="CI20" s="47" t="str">
        <f t="shared" si="7"/>
        <v/>
      </c>
      <c r="CJ20" s="47" t="str">
        <f t="shared" si="7"/>
        <v/>
      </c>
      <c r="CK20" s="47" t="str">
        <f t="shared" si="7"/>
        <v/>
      </c>
      <c r="CL20" s="47" t="str">
        <f t="shared" si="7"/>
        <v/>
      </c>
    </row>
  </sheetData>
  <conditionalFormatting sqref="F6:CL20">
    <cfRule type="expression" dxfId="6" priority="1">
      <formula>AND(F6=1,$E6="Găng")</formula>
    </cfRule>
    <cfRule type="expression" dxfId="5" priority="2">
      <formula>F6=1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000000-000E-0000-0400-000003000000}">
            <xm:f>F$5=PERT!$C$5</xm:f>
            <x14:dxf>
              <fill>
                <patternFill patternType="solid">
                  <fgColor rgb="FFF5A623"/>
                  <bgColor rgb="FFF5A623"/>
                </patternFill>
              </fill>
            </x14:dxf>
          </x14:cfRule>
          <xm:sqref>F4:CL5</xm:sqref>
        </x14:conditionalFormatting>
        <x14:conditionalFormatting xmlns:xm="http://schemas.microsoft.com/office/excel/2006/main">
          <x14:cfRule type="expression" priority="4" id="{00000000-000E-0000-0400-000004000000}">
            <xm:f>F$5=PERT!$C$5</xm:f>
            <x14:dxf>
              <fill>
                <patternFill patternType="solid">
                  <fgColor rgb="FFFDE7C2"/>
                  <bgColor rgb="FFFDE7C2"/>
                </patternFill>
              </fill>
            </x14:dxf>
          </x14:cfRule>
          <xm:sqref>F6:CL20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9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2" width="36" customWidth="1"/>
    <col min="3" max="3" width="12" customWidth="1"/>
    <col min="4" max="6" width="6" customWidth="1"/>
    <col min="7" max="7" width="9" customWidth="1"/>
    <col min="8" max="15" width="8" customWidth="1"/>
    <col min="16" max="16" width="70" customWidth="1"/>
  </cols>
  <sheetData>
    <row r="1" spans="1:16" ht="17.399999999999999" x14ac:dyDescent="0.3">
      <c r="A1" s="1" t="s">
        <v>370</v>
      </c>
    </row>
    <row r="2" spans="1:16" ht="30" customHeight="1" x14ac:dyDescent="0.3">
      <c r="A2" s="64" t="s">
        <v>371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4" spans="1:16" ht="30" customHeight="1" x14ac:dyDescent="0.3">
      <c r="A4" s="7" t="s">
        <v>304</v>
      </c>
      <c r="B4" s="7" t="s">
        <v>305</v>
      </c>
      <c r="C4" s="7" t="s">
        <v>372</v>
      </c>
      <c r="D4" s="7" t="s">
        <v>308</v>
      </c>
      <c r="E4" s="7" t="s">
        <v>309</v>
      </c>
      <c r="F4" s="7" t="s">
        <v>310</v>
      </c>
      <c r="G4" s="7" t="s">
        <v>373</v>
      </c>
      <c r="H4" s="7" t="s">
        <v>374</v>
      </c>
      <c r="I4" s="7" t="s">
        <v>313</v>
      </c>
      <c r="J4" s="7" t="s">
        <v>314</v>
      </c>
      <c r="K4" s="7" t="s">
        <v>315</v>
      </c>
      <c r="L4" s="7" t="s">
        <v>316</v>
      </c>
      <c r="M4" s="7" t="s">
        <v>317</v>
      </c>
      <c r="N4" s="7" t="s">
        <v>318</v>
      </c>
      <c r="O4" s="7" t="s">
        <v>319</v>
      </c>
      <c r="P4" s="7" t="s">
        <v>375</v>
      </c>
    </row>
    <row r="5" spans="1:16" ht="26.4" x14ac:dyDescent="0.3">
      <c r="A5" s="28" t="s">
        <v>324</v>
      </c>
      <c r="B5" s="24" t="str">
        <f>PERT!B9</f>
        <v>Khởi động và lập kế hoạch (Charter, WBS, lịch)</v>
      </c>
      <c r="C5" s="23" t="s">
        <v>327</v>
      </c>
      <c r="D5" s="48">
        <f>PERT!E9</f>
        <v>3</v>
      </c>
      <c r="E5" s="48">
        <f>PERT!F9</f>
        <v>5</v>
      </c>
      <c r="F5" s="48">
        <f>PERT!G9</f>
        <v>8</v>
      </c>
      <c r="G5" s="49">
        <v>0</v>
      </c>
      <c r="H5" s="38">
        <f t="shared" ref="H5:H19" si="0">(D5+4*E5+F5)/6</f>
        <v>5.166666666666667</v>
      </c>
      <c r="I5" s="38">
        <f t="shared" ref="I5:I19" si="1">((F5-D5)/6)^2</f>
        <v>0.69444444444444453</v>
      </c>
      <c r="J5" s="38">
        <f>0</f>
        <v>0</v>
      </c>
      <c r="K5" s="38">
        <f t="shared" ref="K5:K19" si="2">J5+H5</f>
        <v>5.166666666666667</v>
      </c>
      <c r="L5" s="38">
        <f t="shared" ref="L5:L19" si="3">M5-H5</f>
        <v>0</v>
      </c>
      <c r="M5" s="38">
        <f>MIN(L6+G6)</f>
        <v>5.1666666666666705</v>
      </c>
      <c r="N5" s="38">
        <f t="shared" ref="N5:N19" si="4">L5-J5</f>
        <v>0</v>
      </c>
      <c r="O5" s="28" t="str">
        <f t="shared" ref="O5:O19" si="5">IF(ABS(N5)&lt;0.005,"Găng","")</f>
        <v>Găng</v>
      </c>
      <c r="P5" s="24"/>
    </row>
    <row r="6" spans="1:16" x14ac:dyDescent="0.3">
      <c r="A6" s="28" t="s">
        <v>328</v>
      </c>
      <c r="B6" s="24" t="str">
        <f>PERT!B10</f>
        <v>Khảo sát nghiệp vụ và dữ liệu hiện có</v>
      </c>
      <c r="C6" s="23" t="s">
        <v>324</v>
      </c>
      <c r="D6" s="48">
        <f>PERT!E10</f>
        <v>4</v>
      </c>
      <c r="E6" s="48">
        <f>PERT!F10</f>
        <v>6</v>
      </c>
      <c r="F6" s="48">
        <f>PERT!G10</f>
        <v>10</v>
      </c>
      <c r="G6" s="49">
        <v>0</v>
      </c>
      <c r="H6" s="38">
        <f t="shared" si="0"/>
        <v>6.333333333333333</v>
      </c>
      <c r="I6" s="38">
        <f t="shared" si="1"/>
        <v>1</v>
      </c>
      <c r="J6" s="38">
        <f>MAX(0,MAX(K5)-G6)</f>
        <v>5.166666666666667</v>
      </c>
      <c r="K6" s="38">
        <f t="shared" si="2"/>
        <v>11.5</v>
      </c>
      <c r="L6" s="38">
        <f t="shared" si="3"/>
        <v>5.1666666666666705</v>
      </c>
      <c r="M6" s="38">
        <f>MIN(L7+G7)</f>
        <v>11.500000000000004</v>
      </c>
      <c r="N6" s="38">
        <f t="shared" si="4"/>
        <v>0</v>
      </c>
      <c r="O6" s="28" t="str">
        <f t="shared" si="5"/>
        <v>Găng</v>
      </c>
      <c r="P6" s="24"/>
    </row>
    <row r="7" spans="1:16" x14ac:dyDescent="0.3">
      <c r="A7" s="28" t="s">
        <v>330</v>
      </c>
      <c r="B7" s="24" t="str">
        <f>PERT!B11</f>
        <v>Đặc tả yêu cầu (SRS) và phê duyệt</v>
      </c>
      <c r="C7" s="23" t="s">
        <v>328</v>
      </c>
      <c r="D7" s="48">
        <f>PERT!E11</f>
        <v>4</v>
      </c>
      <c r="E7" s="48">
        <f>PERT!F11</f>
        <v>6</v>
      </c>
      <c r="F7" s="48">
        <f>PERT!G11</f>
        <v>9</v>
      </c>
      <c r="G7" s="49">
        <v>0</v>
      </c>
      <c r="H7" s="38">
        <f t="shared" si="0"/>
        <v>6.166666666666667</v>
      </c>
      <c r="I7" s="38">
        <f t="shared" si="1"/>
        <v>0.69444444444444453</v>
      </c>
      <c r="J7" s="38">
        <f>MAX(0,MAX(K6)-G7)</f>
        <v>11.5</v>
      </c>
      <c r="K7" s="38">
        <f t="shared" si="2"/>
        <v>17.666666666666668</v>
      </c>
      <c r="L7" s="38">
        <f t="shared" si="3"/>
        <v>11.500000000000004</v>
      </c>
      <c r="M7" s="38">
        <f>MIN(L8+G8,L9+G9,L16+G16)</f>
        <v>17.666666666666671</v>
      </c>
      <c r="N7" s="38">
        <f t="shared" si="4"/>
        <v>0</v>
      </c>
      <c r="O7" s="28" t="str">
        <f t="shared" si="5"/>
        <v>Găng</v>
      </c>
      <c r="P7" s="24"/>
    </row>
    <row r="8" spans="1:16" x14ac:dyDescent="0.3">
      <c r="A8" s="28" t="s">
        <v>332</v>
      </c>
      <c r="B8" s="24" t="str">
        <f>PERT!B12</f>
        <v>Thiết kế kiến trúc, CSDL, API</v>
      </c>
      <c r="C8" s="23" t="s">
        <v>330</v>
      </c>
      <c r="D8" s="48">
        <f>PERT!E12</f>
        <v>4</v>
      </c>
      <c r="E8" s="48">
        <f>PERT!F12</f>
        <v>6</v>
      </c>
      <c r="F8" s="48">
        <f>PERT!G12</f>
        <v>10</v>
      </c>
      <c r="G8" s="50">
        <v>2</v>
      </c>
      <c r="H8" s="38">
        <f t="shared" si="0"/>
        <v>6.333333333333333</v>
      </c>
      <c r="I8" s="38">
        <f t="shared" si="1"/>
        <v>1</v>
      </c>
      <c r="J8" s="38">
        <f>MAX(0,MAX(K7)-G8)</f>
        <v>15.666666666666668</v>
      </c>
      <c r="K8" s="38">
        <f t="shared" si="2"/>
        <v>22</v>
      </c>
      <c r="L8" s="38">
        <f t="shared" si="3"/>
        <v>15.666666666666671</v>
      </c>
      <c r="M8" s="38">
        <f>MIN(L10+G10)</f>
        <v>22.000000000000004</v>
      </c>
      <c r="N8" s="38">
        <f t="shared" si="4"/>
        <v>0</v>
      </c>
      <c r="O8" s="28" t="str">
        <f t="shared" si="5"/>
        <v>Găng</v>
      </c>
      <c r="P8" s="24" t="s">
        <v>376</v>
      </c>
    </row>
    <row r="9" spans="1:16" x14ac:dyDescent="0.3">
      <c r="A9" s="28" t="s">
        <v>334</v>
      </c>
      <c r="B9" s="24" t="str">
        <f>PERT!B13</f>
        <v>Thiết kế giao diện (wireframe, mockup)</v>
      </c>
      <c r="C9" s="23" t="s">
        <v>330</v>
      </c>
      <c r="D9" s="48">
        <f>PERT!E13</f>
        <v>5</v>
      </c>
      <c r="E9" s="48">
        <f>PERT!F13</f>
        <v>8</v>
      </c>
      <c r="F9" s="48">
        <f>PERT!G13</f>
        <v>12</v>
      </c>
      <c r="G9" s="50">
        <v>2</v>
      </c>
      <c r="H9" s="38">
        <f t="shared" si="0"/>
        <v>8.1666666666666661</v>
      </c>
      <c r="I9" s="38">
        <f t="shared" si="1"/>
        <v>1.3611111111111114</v>
      </c>
      <c r="J9" s="38">
        <f>MAX(0,MAX(K7)-G9)</f>
        <v>15.666666666666668</v>
      </c>
      <c r="K9" s="38">
        <f t="shared" si="2"/>
        <v>23.833333333333336</v>
      </c>
      <c r="L9" s="38">
        <f t="shared" si="3"/>
        <v>16.666666666666664</v>
      </c>
      <c r="M9" s="38">
        <f>MIN(L13+G13)</f>
        <v>24.833333333333332</v>
      </c>
      <c r="N9" s="38">
        <f t="shared" si="4"/>
        <v>0.99999999999999645</v>
      </c>
      <c r="O9" s="28" t="str">
        <f t="shared" si="5"/>
        <v/>
      </c>
      <c r="P9" s="24" t="s">
        <v>377</v>
      </c>
    </row>
    <row r="10" spans="1:16" ht="26.4" x14ac:dyDescent="0.3">
      <c r="A10" s="28" t="s">
        <v>336</v>
      </c>
      <c r="B10" s="24" t="str">
        <f>PERT!B14</f>
        <v>Nền tảng backend, xác thực và phân quyền</v>
      </c>
      <c r="C10" s="23" t="s">
        <v>332</v>
      </c>
      <c r="D10" s="48">
        <f>PERT!E14</f>
        <v>3</v>
      </c>
      <c r="E10" s="48">
        <f>PERT!F14</f>
        <v>5</v>
      </c>
      <c r="F10" s="48">
        <f>PERT!G14</f>
        <v>8</v>
      </c>
      <c r="G10" s="49">
        <v>0</v>
      </c>
      <c r="H10" s="38">
        <f t="shared" si="0"/>
        <v>5.166666666666667</v>
      </c>
      <c r="I10" s="38">
        <f t="shared" si="1"/>
        <v>0.69444444444444453</v>
      </c>
      <c r="J10" s="38">
        <f>MAX(0,MAX(K8)-G10)</f>
        <v>22</v>
      </c>
      <c r="K10" s="38">
        <f t="shared" si="2"/>
        <v>27.166666666666668</v>
      </c>
      <c r="L10" s="38">
        <f t="shared" si="3"/>
        <v>22.000000000000004</v>
      </c>
      <c r="M10" s="38">
        <f>MIN(L11+G11,L12+G12,L14+G14)</f>
        <v>27.166666666666671</v>
      </c>
      <c r="N10" s="38">
        <f t="shared" si="4"/>
        <v>0</v>
      </c>
      <c r="O10" s="28" t="str">
        <f t="shared" si="5"/>
        <v>Găng</v>
      </c>
      <c r="P10" s="24"/>
    </row>
    <row r="11" spans="1:16" ht="26.4" x14ac:dyDescent="0.3">
      <c r="A11" s="28" t="s">
        <v>338</v>
      </c>
      <c r="B11" s="24" t="str">
        <f>PERT!B15</f>
        <v>Phát triển API nghiệp vụ</v>
      </c>
      <c r="C11" s="23" t="s">
        <v>336</v>
      </c>
      <c r="D11" s="51">
        <v>12</v>
      </c>
      <c r="E11" s="51">
        <v>15</v>
      </c>
      <c r="F11" s="51">
        <v>22</v>
      </c>
      <c r="G11" s="49">
        <v>0</v>
      </c>
      <c r="H11" s="38">
        <f t="shared" si="0"/>
        <v>15.666666666666666</v>
      </c>
      <c r="I11" s="38">
        <f t="shared" si="1"/>
        <v>2.7777777777777781</v>
      </c>
      <c r="J11" s="38">
        <f>MAX(0,MAX(K10)-G11)</f>
        <v>27.166666666666668</v>
      </c>
      <c r="K11" s="38">
        <f t="shared" si="2"/>
        <v>42.833333333333336</v>
      </c>
      <c r="L11" s="38">
        <f t="shared" si="3"/>
        <v>27.166666666666671</v>
      </c>
      <c r="M11" s="38">
        <f>MIN(L15+G15)</f>
        <v>42.833333333333336</v>
      </c>
      <c r="N11" s="38">
        <f t="shared" si="4"/>
        <v>0</v>
      </c>
      <c r="O11" s="28" t="str">
        <f t="shared" si="5"/>
        <v>Găng</v>
      </c>
      <c r="P11" s="24" t="s">
        <v>378</v>
      </c>
    </row>
    <row r="12" spans="1:16" ht="26.4" x14ac:dyDescent="0.3">
      <c r="A12" s="28" t="s">
        <v>340</v>
      </c>
      <c r="B12" s="24" t="str">
        <f>PERT!B16</f>
        <v>Tích hợp phần mềm bán hàng, chuyển đổi dữ liệu</v>
      </c>
      <c r="C12" s="23" t="s">
        <v>336</v>
      </c>
      <c r="D12" s="48">
        <f>PERT!E16</f>
        <v>8</v>
      </c>
      <c r="E12" s="48">
        <f>PERT!F16</f>
        <v>12</v>
      </c>
      <c r="F12" s="48">
        <f>PERT!G16</f>
        <v>20</v>
      </c>
      <c r="G12" s="49">
        <v>0</v>
      </c>
      <c r="H12" s="38">
        <f t="shared" si="0"/>
        <v>12.666666666666666</v>
      </c>
      <c r="I12" s="38">
        <f t="shared" si="1"/>
        <v>4</v>
      </c>
      <c r="J12" s="38">
        <f>MAX(0,MAX(K10)-G12)</f>
        <v>27.166666666666668</v>
      </c>
      <c r="K12" s="38">
        <f t="shared" si="2"/>
        <v>39.833333333333336</v>
      </c>
      <c r="L12" s="38">
        <f t="shared" si="3"/>
        <v>32.333333333333336</v>
      </c>
      <c r="M12" s="38">
        <f>MIN(L17+G17)</f>
        <v>45</v>
      </c>
      <c r="N12" s="38">
        <f t="shared" si="4"/>
        <v>5.1666666666666679</v>
      </c>
      <c r="O12" s="28" t="str">
        <f t="shared" si="5"/>
        <v/>
      </c>
      <c r="P12" s="24"/>
    </row>
    <row r="13" spans="1:16" x14ac:dyDescent="0.3">
      <c r="A13" s="28" t="s">
        <v>342</v>
      </c>
      <c r="B13" s="24" t="str">
        <f>PERT!B17</f>
        <v>Khung giao diện và thư viện component</v>
      </c>
      <c r="C13" s="23" t="s">
        <v>334</v>
      </c>
      <c r="D13" s="48">
        <f>PERT!E17</f>
        <v>5</v>
      </c>
      <c r="E13" s="48">
        <f>PERT!F17</f>
        <v>7</v>
      </c>
      <c r="F13" s="48">
        <f>PERT!G17</f>
        <v>10</v>
      </c>
      <c r="G13" s="49">
        <v>0</v>
      </c>
      <c r="H13" s="38">
        <f t="shared" si="0"/>
        <v>7.166666666666667</v>
      </c>
      <c r="I13" s="38">
        <f t="shared" si="1"/>
        <v>0.69444444444444453</v>
      </c>
      <c r="J13" s="38">
        <f>MAX(0,MAX(K9)-G13)</f>
        <v>23.833333333333336</v>
      </c>
      <c r="K13" s="38">
        <f t="shared" si="2"/>
        <v>31.000000000000004</v>
      </c>
      <c r="L13" s="38">
        <f t="shared" si="3"/>
        <v>24.833333333333332</v>
      </c>
      <c r="M13" s="38">
        <f>MIN(L14+G14)</f>
        <v>32</v>
      </c>
      <c r="N13" s="38">
        <f t="shared" si="4"/>
        <v>0.99999999999999645</v>
      </c>
      <c r="O13" s="28" t="str">
        <f t="shared" si="5"/>
        <v/>
      </c>
      <c r="P13" s="24"/>
    </row>
    <row r="14" spans="1:16" ht="26.4" x14ac:dyDescent="0.3">
      <c r="A14" s="28" t="s">
        <v>344</v>
      </c>
      <c r="B14" s="24" t="str">
        <f>PERT!B18</f>
        <v>Phát triển các màn hình nghiệp vụ</v>
      </c>
      <c r="C14" s="23" t="s">
        <v>347</v>
      </c>
      <c r="D14" s="51">
        <v>12</v>
      </c>
      <c r="E14" s="51">
        <v>16</v>
      </c>
      <c r="F14" s="51">
        <v>23</v>
      </c>
      <c r="G14" s="50">
        <v>3.5</v>
      </c>
      <c r="H14" s="38">
        <f t="shared" si="0"/>
        <v>16.5</v>
      </c>
      <c r="I14" s="38">
        <f t="shared" si="1"/>
        <v>3.3611111111111107</v>
      </c>
      <c r="J14" s="38">
        <f>MAX(0,MAX(K13,K10)-G14)</f>
        <v>27.500000000000004</v>
      </c>
      <c r="K14" s="38">
        <f t="shared" si="2"/>
        <v>44</v>
      </c>
      <c r="L14" s="38">
        <f t="shared" si="3"/>
        <v>28.5</v>
      </c>
      <c r="M14" s="38">
        <f>MIN(L17+G17)</f>
        <v>45</v>
      </c>
      <c r="N14" s="38">
        <f t="shared" si="4"/>
        <v>0.99999999999999645</v>
      </c>
      <c r="O14" s="28" t="str">
        <f t="shared" si="5"/>
        <v/>
      </c>
      <c r="P14" s="24" t="s">
        <v>379</v>
      </c>
    </row>
    <row r="15" spans="1:16" ht="26.4" x14ac:dyDescent="0.3">
      <c r="A15" s="28" t="s">
        <v>348</v>
      </c>
      <c r="B15" s="24" t="str">
        <f>PERT!B19</f>
        <v>Chức năng xuất báo cáo CSV/PDF</v>
      </c>
      <c r="C15" s="23" t="s">
        <v>338</v>
      </c>
      <c r="D15" s="48">
        <f>PERT!E19</f>
        <v>3</v>
      </c>
      <c r="E15" s="48">
        <f>PERT!F19</f>
        <v>5</v>
      </c>
      <c r="F15" s="48">
        <f>PERT!G19</f>
        <v>8</v>
      </c>
      <c r="G15" s="50">
        <v>3</v>
      </c>
      <c r="H15" s="38">
        <f t="shared" si="0"/>
        <v>5.166666666666667</v>
      </c>
      <c r="I15" s="38">
        <f t="shared" si="1"/>
        <v>0.69444444444444453</v>
      </c>
      <c r="J15" s="38">
        <f>MAX(0,MAX(K11)-G15)</f>
        <v>39.833333333333336</v>
      </c>
      <c r="K15" s="38">
        <f t="shared" si="2"/>
        <v>45</v>
      </c>
      <c r="L15" s="38">
        <f t="shared" si="3"/>
        <v>39.833333333333336</v>
      </c>
      <c r="M15" s="38">
        <f>MIN(L17+G17)</f>
        <v>45</v>
      </c>
      <c r="N15" s="38">
        <f t="shared" si="4"/>
        <v>0</v>
      </c>
      <c r="O15" s="28" t="str">
        <f t="shared" si="5"/>
        <v>Găng</v>
      </c>
      <c r="P15" s="24" t="s">
        <v>380</v>
      </c>
    </row>
    <row r="16" spans="1:16" x14ac:dyDescent="0.3">
      <c r="A16" s="28" t="s">
        <v>350</v>
      </c>
      <c r="B16" s="24" t="str">
        <f>PERT!B20</f>
        <v>Kế hoạch kiểm thử và test case</v>
      </c>
      <c r="C16" s="23" t="s">
        <v>330</v>
      </c>
      <c r="D16" s="48">
        <f>PERT!E20</f>
        <v>3</v>
      </c>
      <c r="E16" s="48">
        <f>PERT!F20</f>
        <v>4</v>
      </c>
      <c r="F16" s="48">
        <f>PERT!G20</f>
        <v>6</v>
      </c>
      <c r="G16" s="49">
        <v>0</v>
      </c>
      <c r="H16" s="38">
        <f t="shared" si="0"/>
        <v>4.166666666666667</v>
      </c>
      <c r="I16" s="38">
        <f t="shared" si="1"/>
        <v>0.25</v>
      </c>
      <c r="J16" s="38">
        <f>MAX(0,MAX(K7)-G16)</f>
        <v>17.666666666666668</v>
      </c>
      <c r="K16" s="38">
        <f t="shared" si="2"/>
        <v>21.833333333333336</v>
      </c>
      <c r="L16" s="38">
        <f t="shared" si="3"/>
        <v>40.833333333333336</v>
      </c>
      <c r="M16" s="38">
        <f>MIN(L17+G17)</f>
        <v>45</v>
      </c>
      <c r="N16" s="38">
        <f t="shared" si="4"/>
        <v>23.166666666666668</v>
      </c>
      <c r="O16" s="28" t="str">
        <f t="shared" si="5"/>
        <v/>
      </c>
      <c r="P16" s="24"/>
    </row>
    <row r="17" spans="1:16" ht="26.4" x14ac:dyDescent="0.3">
      <c r="A17" s="28" t="s">
        <v>309</v>
      </c>
      <c r="B17" s="24" t="str">
        <f>PERT!B21</f>
        <v>Kiểm thử hệ thống và sửa lỗi</v>
      </c>
      <c r="C17" s="23" t="s">
        <v>353</v>
      </c>
      <c r="D17" s="48">
        <f>PERT!E21</f>
        <v>8</v>
      </c>
      <c r="E17" s="48">
        <f>PERT!F21</f>
        <v>12</v>
      </c>
      <c r="F17" s="48">
        <f>PERT!G21</f>
        <v>18</v>
      </c>
      <c r="G17" s="50">
        <v>5</v>
      </c>
      <c r="H17" s="38">
        <f t="shared" si="0"/>
        <v>12.333333333333334</v>
      </c>
      <c r="I17" s="38">
        <f t="shared" si="1"/>
        <v>2.7777777777777781</v>
      </c>
      <c r="J17" s="38">
        <f>MAX(0,MAX(K14,K15,K12,K16)-G17)</f>
        <v>40</v>
      </c>
      <c r="K17" s="38">
        <f t="shared" si="2"/>
        <v>52.333333333333336</v>
      </c>
      <c r="L17" s="38">
        <f t="shared" si="3"/>
        <v>40</v>
      </c>
      <c r="M17" s="38">
        <f>MIN(L18+G18)</f>
        <v>52.333333333333336</v>
      </c>
      <c r="N17" s="38">
        <f t="shared" si="4"/>
        <v>0</v>
      </c>
      <c r="O17" s="28" t="str">
        <f t="shared" si="5"/>
        <v>Găng</v>
      </c>
      <c r="P17" s="24" t="s">
        <v>381</v>
      </c>
    </row>
    <row r="18" spans="1:16" x14ac:dyDescent="0.3">
      <c r="A18" s="28" t="s">
        <v>354</v>
      </c>
      <c r="B18" s="24" t="str">
        <f>PERT!B22</f>
        <v>Kiểm thử chấp nhận (UAT) và nghiệm thu</v>
      </c>
      <c r="C18" s="23" t="s">
        <v>309</v>
      </c>
      <c r="D18" s="48">
        <f>PERT!E22</f>
        <v>3</v>
      </c>
      <c r="E18" s="48">
        <f>PERT!F22</f>
        <v>5</v>
      </c>
      <c r="F18" s="48">
        <f>PERT!G22</f>
        <v>8</v>
      </c>
      <c r="G18" s="49">
        <v>0</v>
      </c>
      <c r="H18" s="38">
        <f t="shared" si="0"/>
        <v>5.166666666666667</v>
      </c>
      <c r="I18" s="38">
        <f t="shared" si="1"/>
        <v>0.69444444444444453</v>
      </c>
      <c r="J18" s="38">
        <f>MAX(0,MAX(K17)-G18)</f>
        <v>52.333333333333336</v>
      </c>
      <c r="K18" s="38">
        <f t="shared" si="2"/>
        <v>57.5</v>
      </c>
      <c r="L18" s="38">
        <f t="shared" si="3"/>
        <v>52.333333333333336</v>
      </c>
      <c r="M18" s="38">
        <f>MIN(L19+G19)</f>
        <v>57.5</v>
      </c>
      <c r="N18" s="38">
        <f t="shared" si="4"/>
        <v>0</v>
      </c>
      <c r="O18" s="28" t="str">
        <f t="shared" si="5"/>
        <v>Găng</v>
      </c>
      <c r="P18" s="24"/>
    </row>
    <row r="19" spans="1:16" x14ac:dyDescent="0.3">
      <c r="A19" s="28" t="s">
        <v>308</v>
      </c>
      <c r="B19" s="24" t="str">
        <f>PERT!B23</f>
        <v>Go-live, đào tạo người dùng</v>
      </c>
      <c r="C19" s="23" t="s">
        <v>354</v>
      </c>
      <c r="D19" s="48">
        <f>PERT!E23</f>
        <v>3</v>
      </c>
      <c r="E19" s="48">
        <f>PERT!F23</f>
        <v>4</v>
      </c>
      <c r="F19" s="48">
        <f>PERT!G23</f>
        <v>7</v>
      </c>
      <c r="G19" s="49">
        <v>0</v>
      </c>
      <c r="H19" s="38">
        <f t="shared" si="0"/>
        <v>4.333333333333333</v>
      </c>
      <c r="I19" s="38">
        <f t="shared" si="1"/>
        <v>0.44444444444444442</v>
      </c>
      <c r="J19" s="38">
        <f>MAX(0,MAX(K18)-G19)</f>
        <v>57.5</v>
      </c>
      <c r="K19" s="38">
        <f t="shared" si="2"/>
        <v>61.833333333333336</v>
      </c>
      <c r="L19" s="38">
        <f t="shared" si="3"/>
        <v>57.5</v>
      </c>
      <c r="M19" s="38">
        <f>$C$22</f>
        <v>61.833333333333336</v>
      </c>
      <c r="N19" s="38">
        <f t="shared" si="4"/>
        <v>0</v>
      </c>
      <c r="O19" s="28" t="str">
        <f t="shared" si="5"/>
        <v>Găng</v>
      </c>
      <c r="P19" s="24"/>
    </row>
    <row r="21" spans="1:16" ht="17.399999999999999" x14ac:dyDescent="0.3">
      <c r="A21" s="1" t="s">
        <v>382</v>
      </c>
    </row>
    <row r="22" spans="1:16" x14ac:dyDescent="0.3">
      <c r="A22" s="60" t="s">
        <v>383</v>
      </c>
      <c r="B22" s="63"/>
      <c r="C22" s="41">
        <f>MAX(K5:K19)</f>
        <v>61.833333333333336</v>
      </c>
    </row>
    <row r="23" spans="1:16" x14ac:dyDescent="0.3">
      <c r="A23" s="60" t="s">
        <v>384</v>
      </c>
      <c r="B23" s="63"/>
      <c r="C23" s="60" t="str">
        <f>LEFT(IF(O5="Găng","A → ","")&amp;IF(O6="Găng","B → ","")&amp;IF(O7="Găng","C → ","")&amp;IF(O8="Găng","D → ","")&amp;IF(O9="Găng","E → ","")&amp;IF(O10="Găng","F → ","")&amp;IF(O11="Găng","G → ","")&amp;IF(O12="Găng","H → ","")&amp;IF(O13="Găng","I → ","")&amp;IF(O14="Găng","J → ","")&amp;IF(O15="Găng","K → ","")&amp;IF(O16="Găng","L → ","")&amp;IF(O17="Găng","M → ","")&amp;IF(O18="Găng","N → ","")&amp;IF(O19="Găng","O → ",""),LEN(IF(O5="Găng","A → ","")&amp;IF(O6="Găng","B → ","")&amp;IF(O7="Găng","C → ","")&amp;IF(O8="Găng","D → ","")&amp;IF(O9="Găng","E → ","")&amp;IF(O10="Găng","F → ","")&amp;IF(O11="Găng","G → ","")&amp;IF(O12="Găng","H → ","")&amp;IF(O13="Găng","I → ","")&amp;IF(O14="Găng","J → ","")&amp;IF(O15="Găng","K → ","")&amp;IF(O16="Găng","L → ","")&amp;IF(O17="Găng","M → ","")&amp;IF(O18="Găng","N → ","")&amp;IF(O19="Găng","O → ",""))-3)</f>
        <v>A → B → C → D → F → G → K → M → N → O</v>
      </c>
      <c r="D23" s="61"/>
      <c r="E23" s="61"/>
      <c r="F23" s="61"/>
      <c r="G23" s="61"/>
      <c r="H23" s="61"/>
      <c r="I23" s="61"/>
      <c r="J23" s="62"/>
    </row>
    <row r="24" spans="1:16" x14ac:dyDescent="0.3">
      <c r="A24" s="60" t="s">
        <v>362</v>
      </c>
      <c r="B24" s="63"/>
      <c r="C24" s="41">
        <f>SQRT(SUMIF(O5:O19,"Găng",I5:I19))</f>
        <v>3.3870669054835965</v>
      </c>
    </row>
    <row r="25" spans="1:16" x14ac:dyDescent="0.3">
      <c r="A25" s="60" t="s">
        <v>363</v>
      </c>
      <c r="B25" s="63"/>
      <c r="C25" s="29">
        <f>PERT!C5</f>
        <v>64</v>
      </c>
    </row>
    <row r="26" spans="1:16" x14ac:dyDescent="0.3">
      <c r="A26" s="60" t="s">
        <v>385</v>
      </c>
      <c r="B26" s="63"/>
      <c r="C26" s="41">
        <f>C25-C22</f>
        <v>2.1666666666666643</v>
      </c>
    </row>
    <row r="27" spans="1:16" x14ac:dyDescent="0.3">
      <c r="A27" s="60" t="s">
        <v>386</v>
      </c>
      <c r="B27" s="63"/>
      <c r="C27" s="35">
        <f>NORMSDIST((C25-C22)/C24)</f>
        <v>0.73881232950538911</v>
      </c>
    </row>
    <row r="28" spans="1:16" x14ac:dyDescent="0.3">
      <c r="A28" s="60" t="s">
        <v>387</v>
      </c>
      <c r="B28" s="63"/>
      <c r="C28" s="43">
        <f>WORKDAY(PERT!C3,ROUNDUP(C22,0)-1)</f>
        <v>46385</v>
      </c>
    </row>
    <row r="29" spans="1:16" x14ac:dyDescent="0.3">
      <c r="A29" s="60" t="s">
        <v>388</v>
      </c>
      <c r="B29" s="63"/>
      <c r="C29" s="41">
        <f>PERT!$C$26</f>
        <v>75.333333333333329</v>
      </c>
      <c r="D29" s="41">
        <f>C29-C22</f>
        <v>13.499999999999993</v>
      </c>
    </row>
  </sheetData>
  <mergeCells count="10">
    <mergeCell ref="A29:B29"/>
    <mergeCell ref="A25:B25"/>
    <mergeCell ref="A28:B28"/>
    <mergeCell ref="A23:B23"/>
    <mergeCell ref="A27:B27"/>
    <mergeCell ref="C23:J23"/>
    <mergeCell ref="A22:B22"/>
    <mergeCell ref="A2:P2"/>
    <mergeCell ref="A26:B26"/>
    <mergeCell ref="A24:B24"/>
  </mergeCells>
  <conditionalFormatting sqref="A5:O19">
    <cfRule type="expression" dxfId="3" priority="1">
      <formula>$O5="Găng"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6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6" customWidth="1"/>
    <col min="2" max="4" width="30" customWidth="1"/>
    <col min="5" max="5" width="13" customWidth="1"/>
    <col min="6" max="7" width="8" customWidth="1"/>
    <col min="8" max="8" width="7" customWidth="1"/>
    <col min="9" max="10" width="11" customWidth="1"/>
    <col min="11" max="11" width="44" customWidth="1"/>
    <col min="12" max="12" width="13" customWidth="1"/>
    <col min="13" max="13" width="12" customWidth="1"/>
  </cols>
  <sheetData>
    <row r="1" spans="1:13" ht="17.399999999999999" x14ac:dyDescent="0.3">
      <c r="A1" s="1" t="s">
        <v>389</v>
      </c>
    </row>
    <row r="2" spans="1:13" x14ac:dyDescent="0.3">
      <c r="A2" s="2" t="s">
        <v>390</v>
      </c>
    </row>
    <row r="4" spans="1:13" ht="30" customHeight="1" x14ac:dyDescent="0.3">
      <c r="A4" s="7" t="s">
        <v>391</v>
      </c>
      <c r="B4" s="7" t="s">
        <v>392</v>
      </c>
      <c r="C4" s="7" t="s">
        <v>393</v>
      </c>
      <c r="D4" s="7" t="s">
        <v>394</v>
      </c>
      <c r="E4" s="7" t="s">
        <v>395</v>
      </c>
      <c r="F4" s="7" t="s">
        <v>396</v>
      </c>
      <c r="G4" s="7" t="s">
        <v>397</v>
      </c>
      <c r="H4" s="7" t="s">
        <v>398</v>
      </c>
      <c r="I4" s="7" t="s">
        <v>399</v>
      </c>
      <c r="J4" s="7" t="s">
        <v>400</v>
      </c>
      <c r="K4" s="7" t="s">
        <v>401</v>
      </c>
      <c r="L4" s="7" t="s">
        <v>402</v>
      </c>
      <c r="M4" s="7" t="s">
        <v>403</v>
      </c>
    </row>
    <row r="5" spans="1:13" ht="52.8" x14ac:dyDescent="0.3">
      <c r="A5" s="52" t="s">
        <v>404</v>
      </c>
      <c r="B5" s="24" t="s">
        <v>405</v>
      </c>
      <c r="C5" s="24" t="s">
        <v>406</v>
      </c>
      <c r="D5" s="24" t="s">
        <v>407</v>
      </c>
      <c r="E5" s="24" t="s">
        <v>408</v>
      </c>
      <c r="F5" s="53">
        <v>4</v>
      </c>
      <c r="G5" s="53">
        <v>5</v>
      </c>
      <c r="H5" s="54">
        <f>F5*G5</f>
        <v>20</v>
      </c>
      <c r="I5" s="28" t="str">
        <f>IF(H5&gt;=15,"Cao",IF(H5&gt;=8,"Trung bình","Thấp"))</f>
        <v>Cao</v>
      </c>
      <c r="J5" s="24" t="s">
        <v>409</v>
      </c>
      <c r="K5" s="24" t="s">
        <v>410</v>
      </c>
      <c r="L5" s="24" t="s">
        <v>411</v>
      </c>
      <c r="M5" s="23" t="s">
        <v>412</v>
      </c>
    </row>
    <row r="6" spans="1:13" ht="52.8" x14ac:dyDescent="0.3">
      <c r="A6" s="52" t="s">
        <v>413</v>
      </c>
      <c r="B6" s="24" t="s">
        <v>414</v>
      </c>
      <c r="C6" s="24" t="s">
        <v>415</v>
      </c>
      <c r="D6" s="24" t="s">
        <v>416</v>
      </c>
      <c r="E6" s="24" t="s">
        <v>417</v>
      </c>
      <c r="F6" s="53">
        <v>4</v>
      </c>
      <c r="G6" s="53">
        <v>4</v>
      </c>
      <c r="H6" s="54">
        <f>F6*G6</f>
        <v>16</v>
      </c>
      <c r="I6" s="28" t="str">
        <f>IF(H6&gt;=15,"Cao",IF(H6&gt;=8,"Trung bình","Thấp"))</f>
        <v>Cao</v>
      </c>
      <c r="J6" s="24" t="s">
        <v>409</v>
      </c>
      <c r="K6" s="24" t="s">
        <v>418</v>
      </c>
      <c r="L6" s="24" t="s">
        <v>40</v>
      </c>
      <c r="M6" s="23" t="s">
        <v>412</v>
      </c>
    </row>
    <row r="7" spans="1:13" ht="52.8" x14ac:dyDescent="0.3">
      <c r="A7" s="52" t="s">
        <v>419</v>
      </c>
      <c r="B7" s="24" t="s">
        <v>420</v>
      </c>
      <c r="C7" s="24" t="s">
        <v>421</v>
      </c>
      <c r="D7" s="24" t="s">
        <v>422</v>
      </c>
      <c r="E7" s="24" t="s">
        <v>423</v>
      </c>
      <c r="F7" s="53">
        <v>4</v>
      </c>
      <c r="G7" s="53">
        <v>4</v>
      </c>
      <c r="H7" s="54">
        <f>F7*G7</f>
        <v>16</v>
      </c>
      <c r="I7" s="28" t="str">
        <f>IF(H7&gt;=15,"Cao",IF(H7&gt;=8,"Trung bình","Thấp"))</f>
        <v>Cao</v>
      </c>
      <c r="J7" s="24" t="s">
        <v>424</v>
      </c>
      <c r="K7" s="24" t="s">
        <v>425</v>
      </c>
      <c r="L7" s="24" t="s">
        <v>40</v>
      </c>
      <c r="M7" s="23" t="s">
        <v>412</v>
      </c>
    </row>
    <row r="8" spans="1:13" ht="39.6" x14ac:dyDescent="0.3">
      <c r="A8" s="52" t="s">
        <v>426</v>
      </c>
      <c r="B8" s="24" t="s">
        <v>427</v>
      </c>
      <c r="C8" s="24" t="s">
        <v>428</v>
      </c>
      <c r="D8" s="24" t="s">
        <v>429</v>
      </c>
      <c r="E8" s="24" t="s">
        <v>430</v>
      </c>
      <c r="F8" s="53">
        <v>4</v>
      </c>
      <c r="G8" s="53">
        <v>4</v>
      </c>
      <c r="H8" s="54">
        <f>F8*G8</f>
        <v>16</v>
      </c>
      <c r="I8" s="28" t="str">
        <f>IF(H8&gt;=15,"Cao",IF(H8&gt;=8,"Trung bình","Thấp"))</f>
        <v>Cao</v>
      </c>
      <c r="J8" s="24" t="s">
        <v>409</v>
      </c>
      <c r="K8" s="24" t="s">
        <v>431</v>
      </c>
      <c r="L8" s="24" t="s">
        <v>411</v>
      </c>
      <c r="M8" s="23" t="s">
        <v>412</v>
      </c>
    </row>
    <row r="9" spans="1:13" ht="39.6" x14ac:dyDescent="0.3">
      <c r="A9" s="52" t="s">
        <v>432</v>
      </c>
      <c r="B9" s="24" t="s">
        <v>433</v>
      </c>
      <c r="C9" s="24" t="s">
        <v>434</v>
      </c>
      <c r="D9" s="24" t="s">
        <v>435</v>
      </c>
      <c r="E9" s="24" t="s">
        <v>436</v>
      </c>
      <c r="F9" s="53">
        <v>3</v>
      </c>
      <c r="G9" s="53">
        <v>5</v>
      </c>
      <c r="H9" s="54">
        <f>F9*G9</f>
        <v>15</v>
      </c>
      <c r="I9" s="28" t="str">
        <f>IF(H9&gt;=15,"Cao",IF(H9&gt;=8,"Trung bình","Thấp"))</f>
        <v>Cao</v>
      </c>
      <c r="J9" s="24" t="s">
        <v>409</v>
      </c>
      <c r="K9" s="24" t="s">
        <v>437</v>
      </c>
      <c r="L9" s="24" t="s">
        <v>40</v>
      </c>
      <c r="M9" s="23" t="s">
        <v>412</v>
      </c>
    </row>
    <row r="10" spans="1:13" ht="52.8" x14ac:dyDescent="0.3">
      <c r="A10" s="26" t="s">
        <v>470</v>
      </c>
      <c r="B10" s="59" t="s">
        <v>479</v>
      </c>
      <c r="C10" s="59" t="s">
        <v>478</v>
      </c>
      <c r="D10" s="59" t="s">
        <v>477</v>
      </c>
      <c r="E10" s="59" t="s">
        <v>436</v>
      </c>
      <c r="F10" s="58">
        <v>3</v>
      </c>
      <c r="G10" s="58">
        <v>4</v>
      </c>
      <c r="H10" s="58">
        <f>IF(OR(F10="",G10=""),"",F10*G10)</f>
        <v>12</v>
      </c>
      <c r="I10" s="58" t="str">
        <f>IF(H10="","",IF(H10&gt;=15,"Cao",IF(H10&gt;=8,"Trung bình","Thấp")))</f>
        <v>Trung bình</v>
      </c>
      <c r="J10" s="59" t="s">
        <v>409</v>
      </c>
      <c r="K10" s="59" t="s">
        <v>480</v>
      </c>
      <c r="L10" s="59" t="s">
        <v>40</v>
      </c>
      <c r="M10" s="58" t="s">
        <v>471</v>
      </c>
    </row>
    <row r="11" spans="1:13" ht="39.6" x14ac:dyDescent="0.3">
      <c r="A11" s="52" t="s">
        <v>438</v>
      </c>
      <c r="B11" s="24" t="s">
        <v>439</v>
      </c>
      <c r="C11" s="24" t="s">
        <v>440</v>
      </c>
      <c r="D11" s="24" t="s">
        <v>441</v>
      </c>
      <c r="E11" s="24" t="s">
        <v>442</v>
      </c>
      <c r="F11" s="53">
        <v>2</v>
      </c>
      <c r="G11" s="53">
        <v>5</v>
      </c>
      <c r="H11" s="54">
        <f>F11*G11</f>
        <v>10</v>
      </c>
      <c r="I11" s="28" t="str">
        <f>IF(H11&gt;=15,"Cao",IF(H11&gt;=8,"Trung bình","Thấp"))</f>
        <v>Trung bình</v>
      </c>
      <c r="J11" s="24" t="s">
        <v>409</v>
      </c>
      <c r="K11" s="24" t="s">
        <v>443</v>
      </c>
      <c r="L11" s="24" t="s">
        <v>444</v>
      </c>
      <c r="M11" s="23" t="s">
        <v>412</v>
      </c>
    </row>
    <row r="12" spans="1:13" ht="39.6" x14ac:dyDescent="0.3">
      <c r="A12" s="52" t="s">
        <v>445</v>
      </c>
      <c r="B12" s="24" t="s">
        <v>446</v>
      </c>
      <c r="C12" s="24" t="s">
        <v>447</v>
      </c>
      <c r="D12" s="24" t="s">
        <v>448</v>
      </c>
      <c r="E12" s="24" t="s">
        <v>449</v>
      </c>
      <c r="F12" s="53">
        <v>3</v>
      </c>
      <c r="G12" s="53">
        <v>3</v>
      </c>
      <c r="H12" s="54">
        <f>F12*G12</f>
        <v>9</v>
      </c>
      <c r="I12" s="28" t="str">
        <f>IF(H12&gt;=15,"Cao",IF(H12&gt;=8,"Trung bình","Thấp"))</f>
        <v>Trung bình</v>
      </c>
      <c r="J12" s="24" t="s">
        <v>409</v>
      </c>
      <c r="K12" s="24" t="s">
        <v>450</v>
      </c>
      <c r="L12" s="24" t="s">
        <v>80</v>
      </c>
      <c r="M12" s="23" t="s">
        <v>412</v>
      </c>
    </row>
    <row r="13" spans="1:13" ht="39.6" x14ac:dyDescent="0.3">
      <c r="A13" s="52" t="s">
        <v>451</v>
      </c>
      <c r="B13" s="24" t="s">
        <v>452</v>
      </c>
      <c r="C13" s="24" t="s">
        <v>453</v>
      </c>
      <c r="D13" s="24" t="s">
        <v>454</v>
      </c>
      <c r="E13" s="24" t="s">
        <v>455</v>
      </c>
      <c r="F13" s="53">
        <v>3</v>
      </c>
      <c r="G13" s="53">
        <v>3</v>
      </c>
      <c r="H13" s="54">
        <f>F13*G13</f>
        <v>9</v>
      </c>
      <c r="I13" s="28" t="str">
        <f>IF(H13&gt;=15,"Cao",IF(H13&gt;=8,"Trung bình","Thấp"))</f>
        <v>Trung bình</v>
      </c>
      <c r="J13" s="24" t="s">
        <v>409</v>
      </c>
      <c r="K13" s="24" t="s">
        <v>456</v>
      </c>
      <c r="L13" s="24" t="s">
        <v>105</v>
      </c>
      <c r="M13" s="23" t="s">
        <v>412</v>
      </c>
    </row>
    <row r="14" spans="1:13" ht="66" x14ac:dyDescent="0.3">
      <c r="A14" s="26" t="s">
        <v>472</v>
      </c>
      <c r="B14" s="59" t="s">
        <v>484</v>
      </c>
      <c r="C14" s="59" t="s">
        <v>483</v>
      </c>
      <c r="D14" s="59" t="s">
        <v>482</v>
      </c>
      <c r="E14" s="59" t="s">
        <v>481</v>
      </c>
      <c r="F14" s="58">
        <v>3</v>
      </c>
      <c r="G14" s="58">
        <v>3</v>
      </c>
      <c r="H14" s="58">
        <f>IF(OR(F14="",G14=""),"",F14*G14)</f>
        <v>9</v>
      </c>
      <c r="I14" s="58" t="str">
        <f>IF(H14="","",IF(H14&gt;=15,"Cao",IF(H14&gt;=8,"Trung bình","Thấp")))</f>
        <v>Trung bình</v>
      </c>
      <c r="J14" s="59" t="s">
        <v>409</v>
      </c>
      <c r="K14" s="59" t="s">
        <v>485</v>
      </c>
      <c r="L14" s="59" t="s">
        <v>80</v>
      </c>
      <c r="M14" s="58" t="s">
        <v>471</v>
      </c>
    </row>
    <row r="15" spans="1:13" ht="40.049999999999997" customHeight="1" x14ac:dyDescent="0.3">
      <c r="A15" s="52" t="s">
        <v>457</v>
      </c>
      <c r="B15" s="24" t="s">
        <v>458</v>
      </c>
      <c r="C15" s="24" t="s">
        <v>459</v>
      </c>
      <c r="D15" s="24" t="s">
        <v>460</v>
      </c>
      <c r="E15" s="24" t="s">
        <v>461</v>
      </c>
      <c r="F15" s="53">
        <v>2</v>
      </c>
      <c r="G15" s="53">
        <v>4</v>
      </c>
      <c r="H15" s="54">
        <f>F15*G15</f>
        <v>8</v>
      </c>
      <c r="I15" s="28" t="str">
        <f>IF(H15&gt;=15,"Cao",IF(H15&gt;=8,"Trung bình","Thấp"))</f>
        <v>Trung bình</v>
      </c>
      <c r="J15" s="24" t="s">
        <v>409</v>
      </c>
      <c r="K15" s="24" t="s">
        <v>462</v>
      </c>
      <c r="L15" s="24" t="s">
        <v>80</v>
      </c>
      <c r="M15" s="23" t="s">
        <v>412</v>
      </c>
    </row>
    <row r="16" spans="1:13" ht="40.049999999999997" customHeight="1" x14ac:dyDescent="0.3">
      <c r="A16" s="52" t="s">
        <v>463</v>
      </c>
      <c r="B16" s="24" t="s">
        <v>464</v>
      </c>
      <c r="C16" s="24" t="s">
        <v>465</v>
      </c>
      <c r="D16" s="24" t="s">
        <v>466</v>
      </c>
      <c r="E16" s="24" t="s">
        <v>467</v>
      </c>
      <c r="F16" s="53">
        <v>2</v>
      </c>
      <c r="G16" s="53">
        <v>3</v>
      </c>
      <c r="H16" s="54">
        <f>F16*G16</f>
        <v>6</v>
      </c>
      <c r="I16" s="28" t="str">
        <f>IF(H16&gt;=15,"Cao",IF(H16&gt;=8,"Trung bình","Thấp"))</f>
        <v>Thấp</v>
      </c>
      <c r="J16" s="24" t="s">
        <v>468</v>
      </c>
      <c r="K16" s="24" t="s">
        <v>469</v>
      </c>
      <c r="L16" s="24" t="s">
        <v>105</v>
      </c>
      <c r="M16" s="23" t="s">
        <v>412</v>
      </c>
    </row>
  </sheetData>
  <sortState xmlns:xlrd2="http://schemas.microsoft.com/office/spreadsheetml/2017/richdata2" ref="A5:M16">
    <sortCondition descending="1" ref="H5"/>
  </sortState>
  <conditionalFormatting sqref="I5:I16">
    <cfRule type="expression" dxfId="2" priority="1">
      <formula>I5="Cao"</formula>
    </cfRule>
    <cfRule type="expression" dxfId="1" priority="2">
      <formula>I5="Trung bình"</formula>
    </cfRule>
    <cfRule type="expression" dxfId="0" priority="3">
      <formula>I5="Thấp"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showGridLines="0" workbookViewId="0"/>
  </sheetViews>
  <sheetFormatPr defaultRowHeight="14.4" x14ac:dyDescent="0.3"/>
  <cols>
    <col min="1" max="1" width="16" customWidth="1"/>
    <col min="2" max="2" width="8" customWidth="1"/>
    <col min="3" max="7" width="18" customWidth="1"/>
  </cols>
  <sheetData>
    <row r="1" spans="1:7" ht="17.399999999999999" x14ac:dyDescent="0.3">
      <c r="A1" s="1" t="s">
        <v>473</v>
      </c>
    </row>
    <row r="3" spans="1:7" x14ac:dyDescent="0.3">
      <c r="C3" s="66" t="s">
        <v>474</v>
      </c>
      <c r="D3" s="65"/>
      <c r="E3" s="65"/>
      <c r="F3" s="65"/>
      <c r="G3" s="65"/>
    </row>
    <row r="4" spans="1:7" x14ac:dyDescent="0.3">
      <c r="C4" s="7">
        <v>1</v>
      </c>
      <c r="D4" s="7">
        <v>2</v>
      </c>
      <c r="E4" s="7">
        <v>3</v>
      </c>
      <c r="F4" s="7">
        <v>4</v>
      </c>
      <c r="G4" s="7">
        <v>5</v>
      </c>
    </row>
    <row r="5" spans="1:7" ht="42" customHeight="1" x14ac:dyDescent="0.3">
      <c r="A5" s="3" t="s">
        <v>475</v>
      </c>
      <c r="B5" s="7">
        <v>5</v>
      </c>
      <c r="C5" s="55" t="str">
        <f>TRIM(IF(AND(RuiRo!$F$5=5,RuiRo!$G$5=1),RuiRo!$A$5&amp;" ","")&amp;IF(AND(RuiRo!$F$6=5,RuiRo!$G$6=1),RuiRo!$A$6&amp;" ","")&amp;IF(AND(RuiRo!$F$7=5,RuiRo!$G$7=1),RuiRo!$A$7&amp;" ","")&amp;IF(AND(RuiRo!$F$8=5,RuiRo!$G$8=1),RuiRo!$A$8&amp;" ","")&amp;IF(AND(RuiRo!$F$9=5,RuiRo!$G$9=1),RuiRo!$A$9&amp;" ","")&amp;IF(AND(RuiRo!$F$10=5,RuiRo!$G$10=1),RuiRo!$A$10&amp;" ","")&amp;IF(AND(RuiRo!$F$11=5,RuiRo!$G$11=1),RuiRo!$A$11&amp;" ","")&amp;IF(AND(RuiRo!$F$12=5,RuiRo!$G$12=1),RuiRo!$A$12&amp;" ","")&amp;IF(AND(RuiRo!$F$13=5,RuiRo!$G$13=1),RuiRo!$A$13&amp;" ","")&amp;IF(AND(RuiRo!$F$14=5,RuiRo!$G$14=1),RuiRo!$A$14&amp;" ","")&amp;IF(AND(RuiRo!$F$15=5,RuiRo!$G$15=1),RuiRo!$A$15&amp;" ","")&amp;IF(AND(RuiRo!$F$16=5,RuiRo!$G$16=1),RuiRo!$A$16&amp;" ",""))</f>
        <v/>
      </c>
      <c r="D5" s="56" t="str">
        <f>TRIM(IF(AND(RuiRo!$F$5=5,RuiRo!$G$5=2),RuiRo!$A$5&amp;" ","")&amp;IF(AND(RuiRo!$F$6=5,RuiRo!$G$6=2),RuiRo!$A$6&amp;" ","")&amp;IF(AND(RuiRo!$F$7=5,RuiRo!$G$7=2),RuiRo!$A$7&amp;" ","")&amp;IF(AND(RuiRo!$F$8=5,RuiRo!$G$8=2),RuiRo!$A$8&amp;" ","")&amp;IF(AND(RuiRo!$F$9=5,RuiRo!$G$9=2),RuiRo!$A$9&amp;" ","")&amp;IF(AND(RuiRo!$F$10=5,RuiRo!$G$10=2),RuiRo!$A$10&amp;" ","")&amp;IF(AND(RuiRo!$F$11=5,RuiRo!$G$11=2),RuiRo!$A$11&amp;" ","")&amp;IF(AND(RuiRo!$F$12=5,RuiRo!$G$12=2),RuiRo!$A$12&amp;" ","")&amp;IF(AND(RuiRo!$F$13=5,RuiRo!$G$13=2),RuiRo!$A$13&amp;" ","")&amp;IF(AND(RuiRo!$F$14=5,RuiRo!$G$14=2),RuiRo!$A$14&amp;" ","")&amp;IF(AND(RuiRo!$F$15=5,RuiRo!$G$15=2),RuiRo!$A$15&amp;" ","")&amp;IF(AND(RuiRo!$F$16=5,RuiRo!$G$16=2),RuiRo!$A$16&amp;" ",""))</f>
        <v/>
      </c>
      <c r="E5" s="57" t="str">
        <f>TRIM(IF(AND(RuiRo!$F$5=5,RuiRo!$G$5=3),RuiRo!$A$5&amp;" ","")&amp;IF(AND(RuiRo!$F$6=5,RuiRo!$G$6=3),RuiRo!$A$6&amp;" ","")&amp;IF(AND(RuiRo!$F$7=5,RuiRo!$G$7=3),RuiRo!$A$7&amp;" ","")&amp;IF(AND(RuiRo!$F$8=5,RuiRo!$G$8=3),RuiRo!$A$8&amp;" ","")&amp;IF(AND(RuiRo!$F$9=5,RuiRo!$G$9=3),RuiRo!$A$9&amp;" ","")&amp;IF(AND(RuiRo!$F$10=5,RuiRo!$G$10=3),RuiRo!$A$10&amp;" ","")&amp;IF(AND(RuiRo!$F$11=5,RuiRo!$G$11=3),RuiRo!$A$11&amp;" ","")&amp;IF(AND(RuiRo!$F$12=5,RuiRo!$G$12=3),RuiRo!$A$12&amp;" ","")&amp;IF(AND(RuiRo!$F$13=5,RuiRo!$G$13=3),RuiRo!$A$13&amp;" ","")&amp;IF(AND(RuiRo!$F$14=5,RuiRo!$G$14=3),RuiRo!$A$14&amp;" ","")&amp;IF(AND(RuiRo!$F$15=5,RuiRo!$G$15=3),RuiRo!$A$15&amp;" ","")&amp;IF(AND(RuiRo!$F$16=5,RuiRo!$G$16=3),RuiRo!$A$16&amp;" ",""))</f>
        <v/>
      </c>
      <c r="F5" s="57" t="str">
        <f>TRIM(IF(AND(RuiRo!$F$5=5,RuiRo!$G$5=4),RuiRo!$A$5&amp;" ","")&amp;IF(AND(RuiRo!$F$6=5,RuiRo!$G$6=4),RuiRo!$A$6&amp;" ","")&amp;IF(AND(RuiRo!$F$7=5,RuiRo!$G$7=4),RuiRo!$A$7&amp;" ","")&amp;IF(AND(RuiRo!$F$8=5,RuiRo!$G$8=4),RuiRo!$A$8&amp;" ","")&amp;IF(AND(RuiRo!$F$9=5,RuiRo!$G$9=4),RuiRo!$A$9&amp;" ","")&amp;IF(AND(RuiRo!$F$10=5,RuiRo!$G$10=4),RuiRo!$A$10&amp;" ","")&amp;IF(AND(RuiRo!$F$11=5,RuiRo!$G$11=4),RuiRo!$A$11&amp;" ","")&amp;IF(AND(RuiRo!$F$12=5,RuiRo!$G$12=4),RuiRo!$A$12&amp;" ","")&amp;IF(AND(RuiRo!$F$13=5,RuiRo!$G$13=4),RuiRo!$A$13&amp;" ","")&amp;IF(AND(RuiRo!$F$14=5,RuiRo!$G$14=4),RuiRo!$A$14&amp;" ","")&amp;IF(AND(RuiRo!$F$15=5,RuiRo!$G$15=4),RuiRo!$A$15&amp;" ","")&amp;IF(AND(RuiRo!$F$16=5,RuiRo!$G$16=4),RuiRo!$A$16&amp;" ",""))</f>
        <v/>
      </c>
      <c r="G5" s="57" t="str">
        <f>TRIM(IF(AND(RuiRo!$F$5=5,RuiRo!$G$5=5),RuiRo!$A$5&amp;" ","")&amp;IF(AND(RuiRo!$F$6=5,RuiRo!$G$6=5),RuiRo!$A$6&amp;" ","")&amp;IF(AND(RuiRo!$F$7=5,RuiRo!$G$7=5),RuiRo!$A$7&amp;" ","")&amp;IF(AND(RuiRo!$F$8=5,RuiRo!$G$8=5),RuiRo!$A$8&amp;" ","")&amp;IF(AND(RuiRo!$F$9=5,RuiRo!$G$9=5),RuiRo!$A$9&amp;" ","")&amp;IF(AND(RuiRo!$F$10=5,RuiRo!$G$10=5),RuiRo!$A$10&amp;" ","")&amp;IF(AND(RuiRo!$F$11=5,RuiRo!$G$11=5),RuiRo!$A$11&amp;" ","")&amp;IF(AND(RuiRo!$F$12=5,RuiRo!$G$12=5),RuiRo!$A$12&amp;" ","")&amp;IF(AND(RuiRo!$F$13=5,RuiRo!$G$13=5),RuiRo!$A$13&amp;" ","")&amp;IF(AND(RuiRo!$F$14=5,RuiRo!$G$14=5),RuiRo!$A$14&amp;" ","")&amp;IF(AND(RuiRo!$F$15=5,RuiRo!$G$15=5),RuiRo!$A$15&amp;" ","")&amp;IF(AND(RuiRo!$F$16=5,RuiRo!$G$16=5),RuiRo!$A$16&amp;" ",""))</f>
        <v/>
      </c>
    </row>
    <row r="6" spans="1:7" ht="42" customHeight="1" x14ac:dyDescent="0.3">
      <c r="B6" s="7">
        <v>4</v>
      </c>
      <c r="C6" s="55" t="str">
        <f>TRIM(IF(AND(RuiRo!$F$5=4,RuiRo!$G$5=1),RuiRo!$A$5&amp;" ","")&amp;IF(AND(RuiRo!$F$6=4,RuiRo!$G$6=1),RuiRo!$A$6&amp;" ","")&amp;IF(AND(RuiRo!$F$7=4,RuiRo!$G$7=1),RuiRo!$A$7&amp;" ","")&amp;IF(AND(RuiRo!$F$8=4,RuiRo!$G$8=1),RuiRo!$A$8&amp;" ","")&amp;IF(AND(RuiRo!$F$9=4,RuiRo!$G$9=1),RuiRo!$A$9&amp;" ","")&amp;IF(AND(RuiRo!$F$10=4,RuiRo!$G$10=1),RuiRo!$A$10&amp;" ","")&amp;IF(AND(RuiRo!$F$11=4,RuiRo!$G$11=1),RuiRo!$A$11&amp;" ","")&amp;IF(AND(RuiRo!$F$12=4,RuiRo!$G$12=1),RuiRo!$A$12&amp;" ","")&amp;IF(AND(RuiRo!$F$13=4,RuiRo!$G$13=1),RuiRo!$A$13&amp;" ","")&amp;IF(AND(RuiRo!$F$14=4,RuiRo!$G$14=1),RuiRo!$A$14&amp;" ","")&amp;IF(AND(RuiRo!$F$15=4,RuiRo!$G$15=1),RuiRo!$A$15&amp;" ","")&amp;IF(AND(RuiRo!$F$16=4,RuiRo!$G$16=1),RuiRo!$A$16&amp;" ",""))</f>
        <v/>
      </c>
      <c r="D6" s="56" t="str">
        <f>TRIM(IF(AND(RuiRo!$F$5=4,RuiRo!$G$5=2),RuiRo!$A$5&amp;" ","")&amp;IF(AND(RuiRo!$F$6=4,RuiRo!$G$6=2),RuiRo!$A$6&amp;" ","")&amp;IF(AND(RuiRo!$F$7=4,RuiRo!$G$7=2),RuiRo!$A$7&amp;" ","")&amp;IF(AND(RuiRo!$F$8=4,RuiRo!$G$8=2),RuiRo!$A$8&amp;" ","")&amp;IF(AND(RuiRo!$F$9=4,RuiRo!$G$9=2),RuiRo!$A$9&amp;" ","")&amp;IF(AND(RuiRo!$F$10=4,RuiRo!$G$10=2),RuiRo!$A$10&amp;" ","")&amp;IF(AND(RuiRo!$F$11=4,RuiRo!$G$11=2),RuiRo!$A$11&amp;" ","")&amp;IF(AND(RuiRo!$F$12=4,RuiRo!$G$12=2),RuiRo!$A$12&amp;" ","")&amp;IF(AND(RuiRo!$F$13=4,RuiRo!$G$13=2),RuiRo!$A$13&amp;" ","")&amp;IF(AND(RuiRo!$F$14=4,RuiRo!$G$14=2),RuiRo!$A$14&amp;" ","")&amp;IF(AND(RuiRo!$F$15=4,RuiRo!$G$15=2),RuiRo!$A$15&amp;" ","")&amp;IF(AND(RuiRo!$F$16=4,RuiRo!$G$16=2),RuiRo!$A$16&amp;" ",""))</f>
        <v/>
      </c>
      <c r="E6" s="56" t="str">
        <f>TRIM(IF(AND(RuiRo!$F$5=4,RuiRo!$G$5=3),RuiRo!$A$5&amp;" ","")&amp;IF(AND(RuiRo!$F$6=4,RuiRo!$G$6=3),RuiRo!$A$6&amp;" ","")&amp;IF(AND(RuiRo!$F$7=4,RuiRo!$G$7=3),RuiRo!$A$7&amp;" ","")&amp;IF(AND(RuiRo!$F$8=4,RuiRo!$G$8=3),RuiRo!$A$8&amp;" ","")&amp;IF(AND(RuiRo!$F$9=4,RuiRo!$G$9=3),RuiRo!$A$9&amp;" ","")&amp;IF(AND(RuiRo!$F$10=4,RuiRo!$G$10=3),RuiRo!$A$10&amp;" ","")&amp;IF(AND(RuiRo!$F$11=4,RuiRo!$G$11=3),RuiRo!$A$11&amp;" ","")&amp;IF(AND(RuiRo!$F$12=4,RuiRo!$G$12=3),RuiRo!$A$12&amp;" ","")&amp;IF(AND(RuiRo!$F$13=4,RuiRo!$G$13=3),RuiRo!$A$13&amp;" ","")&amp;IF(AND(RuiRo!$F$14=4,RuiRo!$G$14=3),RuiRo!$A$14&amp;" ","")&amp;IF(AND(RuiRo!$F$15=4,RuiRo!$G$15=3),RuiRo!$A$15&amp;" ","")&amp;IF(AND(RuiRo!$F$16=4,RuiRo!$G$16=3),RuiRo!$A$16&amp;" ",""))</f>
        <v/>
      </c>
      <c r="F6" s="57" t="str">
        <f>TRIM(IF(AND(RuiRo!$F$5=4,RuiRo!$G$5=4),RuiRo!$A$5&amp;" ","")&amp;IF(AND(RuiRo!$F$6=4,RuiRo!$G$6=4),RuiRo!$A$6&amp;" ","")&amp;IF(AND(RuiRo!$F$7=4,RuiRo!$G$7=4),RuiRo!$A$7&amp;" ","")&amp;IF(AND(RuiRo!$F$8=4,RuiRo!$G$8=4),RuiRo!$A$8&amp;" ","")&amp;IF(AND(RuiRo!$F$9=4,RuiRo!$G$9=4),RuiRo!$A$9&amp;" ","")&amp;IF(AND(RuiRo!$F$10=4,RuiRo!$G$10=4),RuiRo!$A$10&amp;" ","")&amp;IF(AND(RuiRo!$F$11=4,RuiRo!$G$11=4),RuiRo!$A$11&amp;" ","")&amp;IF(AND(RuiRo!$F$12=4,RuiRo!$G$12=4),RuiRo!$A$12&amp;" ","")&amp;IF(AND(RuiRo!$F$13=4,RuiRo!$G$13=4),RuiRo!$A$13&amp;" ","")&amp;IF(AND(RuiRo!$F$14=4,RuiRo!$G$14=4),RuiRo!$A$14&amp;" ","")&amp;IF(AND(RuiRo!$F$15=4,RuiRo!$G$15=4),RuiRo!$A$15&amp;" ","")&amp;IF(AND(RuiRo!$F$16=4,RuiRo!$G$16=4),RuiRo!$A$16&amp;" ",""))</f>
        <v>R02 R03 R04</v>
      </c>
      <c r="G6" s="57" t="str">
        <f>TRIM(IF(AND(RuiRo!$F$5=4,RuiRo!$G$5=5),RuiRo!$A$5&amp;" ","")&amp;IF(AND(RuiRo!$F$6=4,RuiRo!$G$6=5),RuiRo!$A$6&amp;" ","")&amp;IF(AND(RuiRo!$F$7=4,RuiRo!$G$7=5),RuiRo!$A$7&amp;" ","")&amp;IF(AND(RuiRo!$F$8=4,RuiRo!$G$8=5),RuiRo!$A$8&amp;" ","")&amp;IF(AND(RuiRo!$F$9=4,RuiRo!$G$9=5),RuiRo!$A$9&amp;" ","")&amp;IF(AND(RuiRo!$F$10=4,RuiRo!$G$10=5),RuiRo!$A$10&amp;" ","")&amp;IF(AND(RuiRo!$F$11=4,RuiRo!$G$11=5),RuiRo!$A$11&amp;" ","")&amp;IF(AND(RuiRo!$F$12=4,RuiRo!$G$12=5),RuiRo!$A$12&amp;" ","")&amp;IF(AND(RuiRo!$F$13=4,RuiRo!$G$13=5),RuiRo!$A$13&amp;" ","")&amp;IF(AND(RuiRo!$F$14=4,RuiRo!$G$14=5),RuiRo!$A$14&amp;" ","")&amp;IF(AND(RuiRo!$F$15=4,RuiRo!$G$15=5),RuiRo!$A$15&amp;" ","")&amp;IF(AND(RuiRo!$F$16=4,RuiRo!$G$16=5),RuiRo!$A$16&amp;" ",""))</f>
        <v>R01</v>
      </c>
    </row>
    <row r="7" spans="1:7" ht="42" customHeight="1" x14ac:dyDescent="0.3">
      <c r="B7" s="7">
        <v>3</v>
      </c>
      <c r="C7" s="55" t="str">
        <f>TRIM(IF(AND(RuiRo!$F$5=3,RuiRo!$G$5=1),RuiRo!$A$5&amp;" ","")&amp;IF(AND(RuiRo!$F$6=3,RuiRo!$G$6=1),RuiRo!$A$6&amp;" ","")&amp;IF(AND(RuiRo!$F$7=3,RuiRo!$G$7=1),RuiRo!$A$7&amp;" ","")&amp;IF(AND(RuiRo!$F$8=3,RuiRo!$G$8=1),RuiRo!$A$8&amp;" ","")&amp;IF(AND(RuiRo!$F$9=3,RuiRo!$G$9=1),RuiRo!$A$9&amp;" ","")&amp;IF(AND(RuiRo!$F$10=3,RuiRo!$G$10=1),RuiRo!$A$10&amp;" ","")&amp;IF(AND(RuiRo!$F$11=3,RuiRo!$G$11=1),RuiRo!$A$11&amp;" ","")&amp;IF(AND(RuiRo!$F$12=3,RuiRo!$G$12=1),RuiRo!$A$12&amp;" ","")&amp;IF(AND(RuiRo!$F$13=3,RuiRo!$G$13=1),RuiRo!$A$13&amp;" ","")&amp;IF(AND(RuiRo!$F$14=3,RuiRo!$G$14=1),RuiRo!$A$14&amp;" ","")&amp;IF(AND(RuiRo!$F$15=3,RuiRo!$G$15=1),RuiRo!$A$15&amp;" ","")&amp;IF(AND(RuiRo!$F$16=3,RuiRo!$G$16=1),RuiRo!$A$16&amp;" ",""))</f>
        <v/>
      </c>
      <c r="D7" s="55" t="str">
        <f>TRIM(IF(AND(RuiRo!$F$5=3,RuiRo!$G$5=2),RuiRo!$A$5&amp;" ","")&amp;IF(AND(RuiRo!$F$6=3,RuiRo!$G$6=2),RuiRo!$A$6&amp;" ","")&amp;IF(AND(RuiRo!$F$7=3,RuiRo!$G$7=2),RuiRo!$A$7&amp;" ","")&amp;IF(AND(RuiRo!$F$8=3,RuiRo!$G$8=2),RuiRo!$A$8&amp;" ","")&amp;IF(AND(RuiRo!$F$9=3,RuiRo!$G$9=2),RuiRo!$A$9&amp;" ","")&amp;IF(AND(RuiRo!$F$10=3,RuiRo!$G$10=2),RuiRo!$A$10&amp;" ","")&amp;IF(AND(RuiRo!$F$11=3,RuiRo!$G$11=2),RuiRo!$A$11&amp;" ","")&amp;IF(AND(RuiRo!$F$12=3,RuiRo!$G$12=2),RuiRo!$A$12&amp;" ","")&amp;IF(AND(RuiRo!$F$13=3,RuiRo!$G$13=2),RuiRo!$A$13&amp;" ","")&amp;IF(AND(RuiRo!$F$14=3,RuiRo!$G$14=2),RuiRo!$A$14&amp;" ","")&amp;IF(AND(RuiRo!$F$15=3,RuiRo!$G$15=2),RuiRo!$A$15&amp;" ","")&amp;IF(AND(RuiRo!$F$16=3,RuiRo!$G$16=2),RuiRo!$A$16&amp;" ",""))</f>
        <v/>
      </c>
      <c r="E7" s="56" t="str">
        <f>TRIM(IF(AND(RuiRo!$F$5=3,RuiRo!$G$5=3),RuiRo!$A$5&amp;" ","")&amp;IF(AND(RuiRo!$F$6=3,RuiRo!$G$6=3),RuiRo!$A$6&amp;" ","")&amp;IF(AND(RuiRo!$F$7=3,RuiRo!$G$7=3),RuiRo!$A$7&amp;" ","")&amp;IF(AND(RuiRo!$F$8=3,RuiRo!$G$8=3),RuiRo!$A$8&amp;" ","")&amp;IF(AND(RuiRo!$F$9=3,RuiRo!$G$9=3),RuiRo!$A$9&amp;" ","")&amp;IF(AND(RuiRo!$F$10=3,RuiRo!$G$10=3),RuiRo!$A$10&amp;" ","")&amp;IF(AND(RuiRo!$F$11=3,RuiRo!$G$11=3),RuiRo!$A$11&amp;" ","")&amp;IF(AND(RuiRo!$F$12=3,RuiRo!$G$12=3),RuiRo!$A$12&amp;" ","")&amp;IF(AND(RuiRo!$F$13=3,RuiRo!$G$13=3),RuiRo!$A$13&amp;" ","")&amp;IF(AND(RuiRo!$F$14=3,RuiRo!$G$14=3),RuiRo!$A$14&amp;" ","")&amp;IF(AND(RuiRo!$F$15=3,RuiRo!$G$15=3),RuiRo!$A$15&amp;" ","")&amp;IF(AND(RuiRo!$F$16=3,RuiRo!$G$16=3),RuiRo!$A$16&amp;" ",""))</f>
        <v>R07 R08 R12</v>
      </c>
      <c r="F7" s="56" t="str">
        <f>TRIM(IF(AND(RuiRo!$F$5=3,RuiRo!$G$5=4),RuiRo!$A$5&amp;" ","")&amp;IF(AND(RuiRo!$F$6=3,RuiRo!$G$6=4),RuiRo!$A$6&amp;" ","")&amp;IF(AND(RuiRo!$F$7=3,RuiRo!$G$7=4),RuiRo!$A$7&amp;" ","")&amp;IF(AND(RuiRo!$F$8=3,RuiRo!$G$8=4),RuiRo!$A$8&amp;" ","")&amp;IF(AND(RuiRo!$F$9=3,RuiRo!$G$9=4),RuiRo!$A$9&amp;" ","")&amp;IF(AND(RuiRo!$F$10=3,RuiRo!$G$10=4),RuiRo!$A$10&amp;" ","")&amp;IF(AND(RuiRo!$F$11=3,RuiRo!$G$11=4),RuiRo!$A$11&amp;" ","")&amp;IF(AND(RuiRo!$F$12=3,RuiRo!$G$12=4),RuiRo!$A$12&amp;" ","")&amp;IF(AND(RuiRo!$F$13=3,RuiRo!$G$13=4),RuiRo!$A$13&amp;" ","")&amp;IF(AND(RuiRo!$F$14=3,RuiRo!$G$14=4),RuiRo!$A$14&amp;" ","")&amp;IF(AND(RuiRo!$F$15=3,RuiRo!$G$15=4),RuiRo!$A$15&amp;" ","")&amp;IF(AND(RuiRo!$F$16=3,RuiRo!$G$16=4),RuiRo!$A$16&amp;" ",""))</f>
        <v>R11</v>
      </c>
      <c r="G7" s="57" t="str">
        <f>TRIM(IF(AND(RuiRo!$F$5=3,RuiRo!$G$5=5),RuiRo!$A$5&amp;" ","")&amp;IF(AND(RuiRo!$F$6=3,RuiRo!$G$6=5),RuiRo!$A$6&amp;" ","")&amp;IF(AND(RuiRo!$F$7=3,RuiRo!$G$7=5),RuiRo!$A$7&amp;" ","")&amp;IF(AND(RuiRo!$F$8=3,RuiRo!$G$8=5),RuiRo!$A$8&amp;" ","")&amp;IF(AND(RuiRo!$F$9=3,RuiRo!$G$9=5),RuiRo!$A$9&amp;" ","")&amp;IF(AND(RuiRo!$F$10=3,RuiRo!$G$10=5),RuiRo!$A$10&amp;" ","")&amp;IF(AND(RuiRo!$F$11=3,RuiRo!$G$11=5),RuiRo!$A$11&amp;" ","")&amp;IF(AND(RuiRo!$F$12=3,RuiRo!$G$12=5),RuiRo!$A$12&amp;" ","")&amp;IF(AND(RuiRo!$F$13=3,RuiRo!$G$13=5),RuiRo!$A$13&amp;" ","")&amp;IF(AND(RuiRo!$F$14=3,RuiRo!$G$14=5),RuiRo!$A$14&amp;" ","")&amp;IF(AND(RuiRo!$F$15=3,RuiRo!$G$15=5),RuiRo!$A$15&amp;" ","")&amp;IF(AND(RuiRo!$F$16=3,RuiRo!$G$16=5),RuiRo!$A$16&amp;" ",""))</f>
        <v>R05</v>
      </c>
    </row>
    <row r="8" spans="1:7" ht="42" customHeight="1" x14ac:dyDescent="0.3">
      <c r="B8" s="7">
        <v>2</v>
      </c>
      <c r="C8" s="55" t="str">
        <f>TRIM(IF(AND(RuiRo!$F$5=2,RuiRo!$G$5=1),RuiRo!$A$5&amp;" ","")&amp;IF(AND(RuiRo!$F$6=2,RuiRo!$G$6=1),RuiRo!$A$6&amp;" ","")&amp;IF(AND(RuiRo!$F$7=2,RuiRo!$G$7=1),RuiRo!$A$7&amp;" ","")&amp;IF(AND(RuiRo!$F$8=2,RuiRo!$G$8=1),RuiRo!$A$8&amp;" ","")&amp;IF(AND(RuiRo!$F$9=2,RuiRo!$G$9=1),RuiRo!$A$9&amp;" ","")&amp;IF(AND(RuiRo!$F$10=2,RuiRo!$G$10=1),RuiRo!$A$10&amp;" ","")&amp;IF(AND(RuiRo!$F$11=2,RuiRo!$G$11=1),RuiRo!$A$11&amp;" ","")&amp;IF(AND(RuiRo!$F$12=2,RuiRo!$G$12=1),RuiRo!$A$12&amp;" ","")&amp;IF(AND(RuiRo!$F$13=2,RuiRo!$G$13=1),RuiRo!$A$13&amp;" ","")&amp;IF(AND(RuiRo!$F$14=2,RuiRo!$G$14=1),RuiRo!$A$14&amp;" ","")&amp;IF(AND(RuiRo!$F$15=2,RuiRo!$G$15=1),RuiRo!$A$15&amp;" ","")&amp;IF(AND(RuiRo!$F$16=2,RuiRo!$G$16=1),RuiRo!$A$16&amp;" ",""))</f>
        <v/>
      </c>
      <c r="D8" s="55" t="str">
        <f>TRIM(IF(AND(RuiRo!$F$5=2,RuiRo!$G$5=2),RuiRo!$A$5&amp;" ","")&amp;IF(AND(RuiRo!$F$6=2,RuiRo!$G$6=2),RuiRo!$A$6&amp;" ","")&amp;IF(AND(RuiRo!$F$7=2,RuiRo!$G$7=2),RuiRo!$A$7&amp;" ","")&amp;IF(AND(RuiRo!$F$8=2,RuiRo!$G$8=2),RuiRo!$A$8&amp;" ","")&amp;IF(AND(RuiRo!$F$9=2,RuiRo!$G$9=2),RuiRo!$A$9&amp;" ","")&amp;IF(AND(RuiRo!$F$10=2,RuiRo!$G$10=2),RuiRo!$A$10&amp;" ","")&amp;IF(AND(RuiRo!$F$11=2,RuiRo!$G$11=2),RuiRo!$A$11&amp;" ","")&amp;IF(AND(RuiRo!$F$12=2,RuiRo!$G$12=2),RuiRo!$A$12&amp;" ","")&amp;IF(AND(RuiRo!$F$13=2,RuiRo!$G$13=2),RuiRo!$A$13&amp;" ","")&amp;IF(AND(RuiRo!$F$14=2,RuiRo!$G$14=2),RuiRo!$A$14&amp;" ","")&amp;IF(AND(RuiRo!$F$15=2,RuiRo!$G$15=2),RuiRo!$A$15&amp;" ","")&amp;IF(AND(RuiRo!$F$16=2,RuiRo!$G$16=2),RuiRo!$A$16&amp;" ",""))</f>
        <v/>
      </c>
      <c r="E8" s="55" t="str">
        <f>TRIM(IF(AND(RuiRo!$F$5=2,RuiRo!$G$5=3),RuiRo!$A$5&amp;" ","")&amp;IF(AND(RuiRo!$F$6=2,RuiRo!$G$6=3),RuiRo!$A$6&amp;" ","")&amp;IF(AND(RuiRo!$F$7=2,RuiRo!$G$7=3),RuiRo!$A$7&amp;" ","")&amp;IF(AND(RuiRo!$F$8=2,RuiRo!$G$8=3),RuiRo!$A$8&amp;" ","")&amp;IF(AND(RuiRo!$F$9=2,RuiRo!$G$9=3),RuiRo!$A$9&amp;" ","")&amp;IF(AND(RuiRo!$F$10=2,RuiRo!$G$10=3),RuiRo!$A$10&amp;" ","")&amp;IF(AND(RuiRo!$F$11=2,RuiRo!$G$11=3),RuiRo!$A$11&amp;" ","")&amp;IF(AND(RuiRo!$F$12=2,RuiRo!$G$12=3),RuiRo!$A$12&amp;" ","")&amp;IF(AND(RuiRo!$F$13=2,RuiRo!$G$13=3),RuiRo!$A$13&amp;" ","")&amp;IF(AND(RuiRo!$F$14=2,RuiRo!$G$14=3),RuiRo!$A$14&amp;" ","")&amp;IF(AND(RuiRo!$F$15=2,RuiRo!$G$15=3),RuiRo!$A$15&amp;" ","")&amp;IF(AND(RuiRo!$F$16=2,RuiRo!$G$16=3),RuiRo!$A$16&amp;" ",""))</f>
        <v>R10</v>
      </c>
      <c r="F8" s="56" t="str">
        <f>TRIM(IF(AND(RuiRo!$F$5=2,RuiRo!$G$5=4),RuiRo!$A$5&amp;" ","")&amp;IF(AND(RuiRo!$F$6=2,RuiRo!$G$6=4),RuiRo!$A$6&amp;" ","")&amp;IF(AND(RuiRo!$F$7=2,RuiRo!$G$7=4),RuiRo!$A$7&amp;" ","")&amp;IF(AND(RuiRo!$F$8=2,RuiRo!$G$8=4),RuiRo!$A$8&amp;" ","")&amp;IF(AND(RuiRo!$F$9=2,RuiRo!$G$9=4),RuiRo!$A$9&amp;" ","")&amp;IF(AND(RuiRo!$F$10=2,RuiRo!$G$10=4),RuiRo!$A$10&amp;" ","")&amp;IF(AND(RuiRo!$F$11=2,RuiRo!$G$11=4),RuiRo!$A$11&amp;" ","")&amp;IF(AND(RuiRo!$F$12=2,RuiRo!$G$12=4),RuiRo!$A$12&amp;" ","")&amp;IF(AND(RuiRo!$F$13=2,RuiRo!$G$13=4),RuiRo!$A$13&amp;" ","")&amp;IF(AND(RuiRo!$F$14=2,RuiRo!$G$14=4),RuiRo!$A$14&amp;" ","")&amp;IF(AND(RuiRo!$F$15=2,RuiRo!$G$15=4),RuiRo!$A$15&amp;" ","")&amp;IF(AND(RuiRo!$F$16=2,RuiRo!$G$16=4),RuiRo!$A$16&amp;" ",""))</f>
        <v>R09</v>
      </c>
      <c r="G8" s="56" t="str">
        <f>TRIM(IF(AND(RuiRo!$F$5=2,RuiRo!$G$5=5),RuiRo!$A$5&amp;" ","")&amp;IF(AND(RuiRo!$F$6=2,RuiRo!$G$6=5),RuiRo!$A$6&amp;" ","")&amp;IF(AND(RuiRo!$F$7=2,RuiRo!$G$7=5),RuiRo!$A$7&amp;" ","")&amp;IF(AND(RuiRo!$F$8=2,RuiRo!$G$8=5),RuiRo!$A$8&amp;" ","")&amp;IF(AND(RuiRo!$F$9=2,RuiRo!$G$9=5),RuiRo!$A$9&amp;" ","")&amp;IF(AND(RuiRo!$F$10=2,RuiRo!$G$10=5),RuiRo!$A$10&amp;" ","")&amp;IF(AND(RuiRo!$F$11=2,RuiRo!$G$11=5),RuiRo!$A$11&amp;" ","")&amp;IF(AND(RuiRo!$F$12=2,RuiRo!$G$12=5),RuiRo!$A$12&amp;" ","")&amp;IF(AND(RuiRo!$F$13=2,RuiRo!$G$13=5),RuiRo!$A$13&amp;" ","")&amp;IF(AND(RuiRo!$F$14=2,RuiRo!$G$14=5),RuiRo!$A$14&amp;" ","")&amp;IF(AND(RuiRo!$F$15=2,RuiRo!$G$15=5),RuiRo!$A$15&amp;" ","")&amp;IF(AND(RuiRo!$F$16=2,RuiRo!$G$16=5),RuiRo!$A$16&amp;" ",""))</f>
        <v>R06</v>
      </c>
    </row>
    <row r="9" spans="1:7" ht="42" customHeight="1" x14ac:dyDescent="0.3">
      <c r="B9" s="7">
        <v>1</v>
      </c>
      <c r="C9" s="55" t="str">
        <f>TRIM(IF(AND(RuiRo!$F$5=1,RuiRo!$G$5=1),RuiRo!$A$5&amp;" ","")&amp;IF(AND(RuiRo!$F$6=1,RuiRo!$G$6=1),RuiRo!$A$6&amp;" ","")&amp;IF(AND(RuiRo!$F$7=1,RuiRo!$G$7=1),RuiRo!$A$7&amp;" ","")&amp;IF(AND(RuiRo!$F$8=1,RuiRo!$G$8=1),RuiRo!$A$8&amp;" ","")&amp;IF(AND(RuiRo!$F$9=1,RuiRo!$G$9=1),RuiRo!$A$9&amp;" ","")&amp;IF(AND(RuiRo!$F$10=1,RuiRo!$G$10=1),RuiRo!$A$10&amp;" ","")&amp;IF(AND(RuiRo!$F$11=1,RuiRo!$G$11=1),RuiRo!$A$11&amp;" ","")&amp;IF(AND(RuiRo!$F$12=1,RuiRo!$G$12=1),RuiRo!$A$12&amp;" ","")&amp;IF(AND(RuiRo!$F$13=1,RuiRo!$G$13=1),RuiRo!$A$13&amp;" ","")&amp;IF(AND(RuiRo!$F$14=1,RuiRo!$G$14=1),RuiRo!$A$14&amp;" ","")&amp;IF(AND(RuiRo!$F$15=1,RuiRo!$G$15=1),RuiRo!$A$15&amp;" ","")&amp;IF(AND(RuiRo!$F$16=1,RuiRo!$G$16=1),RuiRo!$A$16&amp;" ",""))</f>
        <v/>
      </c>
      <c r="D9" s="55" t="str">
        <f>TRIM(IF(AND(RuiRo!$F$5=1,RuiRo!$G$5=2),RuiRo!$A$5&amp;" ","")&amp;IF(AND(RuiRo!$F$6=1,RuiRo!$G$6=2),RuiRo!$A$6&amp;" ","")&amp;IF(AND(RuiRo!$F$7=1,RuiRo!$G$7=2),RuiRo!$A$7&amp;" ","")&amp;IF(AND(RuiRo!$F$8=1,RuiRo!$G$8=2),RuiRo!$A$8&amp;" ","")&amp;IF(AND(RuiRo!$F$9=1,RuiRo!$G$9=2),RuiRo!$A$9&amp;" ","")&amp;IF(AND(RuiRo!$F$10=1,RuiRo!$G$10=2),RuiRo!$A$10&amp;" ","")&amp;IF(AND(RuiRo!$F$11=1,RuiRo!$G$11=2),RuiRo!$A$11&amp;" ","")&amp;IF(AND(RuiRo!$F$12=1,RuiRo!$G$12=2),RuiRo!$A$12&amp;" ","")&amp;IF(AND(RuiRo!$F$13=1,RuiRo!$G$13=2),RuiRo!$A$13&amp;" ","")&amp;IF(AND(RuiRo!$F$14=1,RuiRo!$G$14=2),RuiRo!$A$14&amp;" ","")&amp;IF(AND(RuiRo!$F$15=1,RuiRo!$G$15=2),RuiRo!$A$15&amp;" ","")&amp;IF(AND(RuiRo!$F$16=1,RuiRo!$G$16=2),RuiRo!$A$16&amp;" ",""))</f>
        <v/>
      </c>
      <c r="E9" s="55" t="str">
        <f>TRIM(IF(AND(RuiRo!$F$5=1,RuiRo!$G$5=3),RuiRo!$A$5&amp;" ","")&amp;IF(AND(RuiRo!$F$6=1,RuiRo!$G$6=3),RuiRo!$A$6&amp;" ","")&amp;IF(AND(RuiRo!$F$7=1,RuiRo!$G$7=3),RuiRo!$A$7&amp;" ","")&amp;IF(AND(RuiRo!$F$8=1,RuiRo!$G$8=3),RuiRo!$A$8&amp;" ","")&amp;IF(AND(RuiRo!$F$9=1,RuiRo!$G$9=3),RuiRo!$A$9&amp;" ","")&amp;IF(AND(RuiRo!$F$10=1,RuiRo!$G$10=3),RuiRo!$A$10&amp;" ","")&amp;IF(AND(RuiRo!$F$11=1,RuiRo!$G$11=3),RuiRo!$A$11&amp;" ","")&amp;IF(AND(RuiRo!$F$12=1,RuiRo!$G$12=3),RuiRo!$A$12&amp;" ","")&amp;IF(AND(RuiRo!$F$13=1,RuiRo!$G$13=3),RuiRo!$A$13&amp;" ","")&amp;IF(AND(RuiRo!$F$14=1,RuiRo!$G$14=3),RuiRo!$A$14&amp;" ","")&amp;IF(AND(RuiRo!$F$15=1,RuiRo!$G$15=3),RuiRo!$A$15&amp;" ","")&amp;IF(AND(RuiRo!$F$16=1,RuiRo!$G$16=3),RuiRo!$A$16&amp;" ",""))</f>
        <v/>
      </c>
      <c r="F9" s="55" t="str">
        <f>TRIM(IF(AND(RuiRo!$F$5=1,RuiRo!$G$5=4),RuiRo!$A$5&amp;" ","")&amp;IF(AND(RuiRo!$F$6=1,RuiRo!$G$6=4),RuiRo!$A$6&amp;" ","")&amp;IF(AND(RuiRo!$F$7=1,RuiRo!$G$7=4),RuiRo!$A$7&amp;" ","")&amp;IF(AND(RuiRo!$F$8=1,RuiRo!$G$8=4),RuiRo!$A$8&amp;" ","")&amp;IF(AND(RuiRo!$F$9=1,RuiRo!$G$9=4),RuiRo!$A$9&amp;" ","")&amp;IF(AND(RuiRo!$F$10=1,RuiRo!$G$10=4),RuiRo!$A$10&amp;" ","")&amp;IF(AND(RuiRo!$F$11=1,RuiRo!$G$11=4),RuiRo!$A$11&amp;" ","")&amp;IF(AND(RuiRo!$F$12=1,RuiRo!$G$12=4),RuiRo!$A$12&amp;" ","")&amp;IF(AND(RuiRo!$F$13=1,RuiRo!$G$13=4),RuiRo!$A$13&amp;" ","")&amp;IF(AND(RuiRo!$F$14=1,RuiRo!$G$14=4),RuiRo!$A$14&amp;" ","")&amp;IF(AND(RuiRo!$F$15=1,RuiRo!$G$15=4),RuiRo!$A$15&amp;" ","")&amp;IF(AND(RuiRo!$F$16=1,RuiRo!$G$16=4),RuiRo!$A$16&amp;" ",""))</f>
        <v/>
      </c>
      <c r="G9" s="55" t="str">
        <f>TRIM(IF(AND(RuiRo!$F$5=1,RuiRo!$G$5=5),RuiRo!$A$5&amp;" ","")&amp;IF(AND(RuiRo!$F$6=1,RuiRo!$G$6=5),RuiRo!$A$6&amp;" ","")&amp;IF(AND(RuiRo!$F$7=1,RuiRo!$G$7=5),RuiRo!$A$7&amp;" ","")&amp;IF(AND(RuiRo!$F$8=1,RuiRo!$G$8=5),RuiRo!$A$8&amp;" ","")&amp;IF(AND(RuiRo!$F$9=1,RuiRo!$G$9=5),RuiRo!$A$9&amp;" ","")&amp;IF(AND(RuiRo!$F$10=1,RuiRo!$G$10=5),RuiRo!$A$10&amp;" ","")&amp;IF(AND(RuiRo!$F$11=1,RuiRo!$G$11=5),RuiRo!$A$11&amp;" ","")&amp;IF(AND(RuiRo!$F$12=1,RuiRo!$G$12=5),RuiRo!$A$12&amp;" ","")&amp;IF(AND(RuiRo!$F$13=1,RuiRo!$G$13=5),RuiRo!$A$13&amp;" ","")&amp;IF(AND(RuiRo!$F$14=1,RuiRo!$G$14=5),RuiRo!$A$14&amp;" ","")&amp;IF(AND(RuiRo!$F$15=1,RuiRo!$G$15=5),RuiRo!$A$15&amp;" ","")&amp;IF(AND(RuiRo!$F$16=1,RuiRo!$G$16=5),RuiRo!$A$16&amp;" ",""))</f>
        <v/>
      </c>
    </row>
    <row r="11" spans="1:7" x14ac:dyDescent="0.3">
      <c r="A11" s="2" t="s">
        <v>476</v>
      </c>
    </row>
  </sheetData>
  <mergeCells count="1">
    <mergeCell ref="C3:G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HuongDan</vt:lpstr>
      <vt:lpstr>WBS</vt:lpstr>
      <vt:lpstr>ChiPhi</vt:lpstr>
      <vt:lpstr>PERT</vt:lpstr>
      <vt:lpstr>Gantt</vt:lpstr>
      <vt:lpstr>NenLich</vt:lpstr>
      <vt:lpstr>RuiRo</vt:lpstr>
      <vt:lpstr>MaTran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thái duy</cp:lastModifiedBy>
  <dcterms:created xsi:type="dcterms:W3CDTF">2026-10-04T02:52:48Z</dcterms:created>
  <dcterms:modified xsi:type="dcterms:W3CDTF">2026-10-05T05:59:09Z</dcterms:modified>
</cp:coreProperties>
</file>
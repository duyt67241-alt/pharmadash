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ongDan" sheetId="1" state="visible" r:id="rId1"/>
    <sheet name="WBS" sheetId="2" state="visible" r:id="rId2"/>
    <sheet name="ChiPhi" sheetId="3" state="visible" r:id="rId3"/>
    <sheet name="PERT" sheetId="4" state="visible" r:id="rId4"/>
    <sheet name="Gantt" sheetId="5" state="visible" r:id="rId5"/>
    <sheet name="NenLich" sheetId="6" state="visible" r:id="rId6"/>
    <sheet name="RuiRo" sheetId="7" state="visible" r:id="rId7"/>
    <sheet name="MaTr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(#,##0);-"/>
    <numFmt numFmtId="165" formatCode="0.0%"/>
    <numFmt numFmtId="166" formatCode="yyyy-mm-dd"/>
    <numFmt numFmtId="167" formatCode="dd/mm/yyyy"/>
    <numFmt numFmtId="168" formatCode="dd/mm"/>
    <numFmt numFmtId="169" formatCode="0.0"/>
    <numFmt numFmtId="170" formatCode=";;;"/>
  </numFmts>
  <fonts count="10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sz val="10"/>
    </font>
    <font>
      <name val="Arial"/>
      <b val="1"/>
      <sz val="10"/>
    </font>
    <font>
      <name val="Arial"/>
      <b val="1"/>
      <color rgb="000000FF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sz val="7"/>
    </font>
    <font>
      <name val="Arial"/>
      <b val="1"/>
      <color rgb="00FFFFFF"/>
      <sz val="7"/>
    </font>
  </fonts>
  <fills count="10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9"/>
      </patternFill>
    </fill>
    <fill>
      <patternFill patternType="solid">
        <fgColor rgb="00D9E2F3"/>
      </patternFill>
    </fill>
    <fill>
      <patternFill patternType="solid">
        <fgColor rgb="00EEF3FA"/>
      </patternFill>
    </fill>
    <fill>
      <patternFill patternType="solid">
        <fgColor rgb="00FFF2CC"/>
      </patternFill>
    </fill>
    <fill>
      <patternFill patternType="solid">
        <fgColor rgb="00D8F0DD"/>
      </patternFill>
    </fill>
    <fill>
      <patternFill patternType="solid">
        <fgColor rgb="00FCE4C4"/>
      </patternFill>
    </fill>
    <fill>
      <patternFill patternType="solid">
        <fgColor rgb="00F8CBCB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hair">
        <color rgb="00E0E0E0"/>
      </left>
      <right style="hair">
        <color rgb="00E0E0E0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3" fillId="4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horizontal="center" vertical="center" wrapText="1"/>
    </xf>
    <xf numFmtId="3" fontId="3" fillId="4" borderId="1" pivotButton="0" quotePrefix="0" xfId="0"/>
    <xf numFmtId="0" fontId="2" fillId="4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5" borderId="1" applyAlignment="1" pivotButton="0" quotePrefix="0" xfId="0">
      <alignment horizontal="center" vertical="center" wrapText="1"/>
    </xf>
    <xf numFmtId="3" fontId="3" fillId="5" borderId="1" pivotButton="0" quotePrefix="0" xfId="0"/>
    <xf numFmtId="0" fontId="2" fillId="5" borderId="1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3" fontId="6" fillId="0" borderId="1" pivotButton="0" quotePrefix="0" xfId="0"/>
    <xf numFmtId="0" fontId="3" fillId="0" borderId="1" pivotButton="0" quotePrefix="0" xfId="0"/>
    <xf numFmtId="3" fontId="3" fillId="0" borderId="1" pivotButton="0" quotePrefix="0" xfId="0"/>
    <xf numFmtId="0" fontId="3" fillId="0" borderId="1" applyAlignment="1" pivotButton="0" quotePrefix="0" xfId="0">
      <alignment horizontal="center" vertical="center" wrapText="1"/>
    </xf>
    <xf numFmtId="1" fontId="3" fillId="0" borderId="1" pivotButton="0" quotePrefix="0" xfId="0"/>
    <xf numFmtId="164" fontId="6" fillId="0" borderId="1" pivotButton="0" quotePrefix="0" xfId="0"/>
    <xf numFmtId="3" fontId="7" fillId="0" borderId="1" pivotButton="0" quotePrefix="0" xfId="0"/>
    <xf numFmtId="164" fontId="2" fillId="0" borderId="1" pivotButton="0" quotePrefix="0" xfId="0"/>
    <xf numFmtId="164" fontId="3" fillId="0" borderId="1" pivotButton="0" quotePrefix="0" xfId="0"/>
    <xf numFmtId="9" fontId="6" fillId="0" borderId="1" pivotButton="0" quotePrefix="0" xfId="0"/>
    <xf numFmtId="165" fontId="3" fillId="0" borderId="1" pivotButton="0" quotePrefix="0" xfId="0"/>
    <xf numFmtId="167" fontId="6" fillId="0" borderId="1" pivotButton="0" quotePrefix="0" xfId="0"/>
    <xf numFmtId="1" fontId="6" fillId="0" borderId="1" pivotButton="0" quotePrefix="0" xfId="0"/>
    <xf numFmtId="2" fontId="2" fillId="0" borderId="1" pivotButton="0" quotePrefix="0" xfId="0"/>
    <xf numFmtId="167" fontId="2" fillId="0" borderId="1" pivotButton="0" quotePrefix="0" xfId="0"/>
    <xf numFmtId="2" fontId="6" fillId="2" borderId="1" pivotButton="0" quotePrefix="0" xfId="0"/>
    <xf numFmtId="0" fontId="0" fillId="0" borderId="1" pivotButton="0" quotePrefix="0" xfId="0"/>
    <xf numFmtId="2" fontId="3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0" fontId="3" fillId="0" borderId="1" pivotButton="0" quotePrefix="0" xfId="0"/>
    <xf numFmtId="167" fontId="3" fillId="0" borderId="1" pivotButton="0" quotePrefix="0" xfId="0"/>
    <xf numFmtId="168" fontId="8" fillId="0" borderId="0" applyAlignment="1" pivotButton="0" quotePrefix="0" xfId="0">
      <alignment horizontal="center" textRotation="90"/>
    </xf>
    <xf numFmtId="0" fontId="9" fillId="3" borderId="1" applyAlignment="1" pivotButton="0" quotePrefix="0" xfId="0">
      <alignment horizontal="center" vertical="center" wrapText="1"/>
    </xf>
    <xf numFmtId="169" fontId="2" fillId="0" borderId="1" pivotButton="0" quotePrefix="0" xfId="0"/>
    <xf numFmtId="170" fontId="0" fillId="0" borderId="6" pivotButton="0" quotePrefix="0" xfId="0"/>
    <xf numFmtId="1" fontId="7" fillId="0" borderId="1" pivotButton="0" quotePrefix="0" xfId="0"/>
    <xf numFmtId="169" fontId="6" fillId="0" borderId="1" pivotButton="0" quotePrefix="0" xfId="0"/>
    <xf numFmtId="169" fontId="6" fillId="6" borderId="1" pivotButton="0" quotePrefix="0" xfId="0"/>
    <xf numFmtId="1" fontId="6" fillId="6" borderId="1" pivotButton="0" quotePrefix="0" xfId="0"/>
    <xf numFmtId="0" fontId="3" fillId="0" borderId="1" applyAlignment="1" pivotButton="0" quotePrefix="0" xfId="0">
      <alignment vertical="top" wrapText="1"/>
    </xf>
    <xf numFmtId="1" fontId="6" fillId="0" borderId="1" applyAlignment="1" pivotButton="0" quotePrefix="0" xfId="0">
      <alignment horizontal="center" vertical="center" wrapText="1"/>
    </xf>
    <xf numFmtId="1" fontId="3" fillId="0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top" wrapText="1"/>
    </xf>
    <xf numFmtId="0" fontId="3" fillId="0" borderId="0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8">
    <dxf>
      <fill>
        <patternFill patternType="solid">
          <fgColor rgb="00FCE4E4"/>
          <bgColor rgb="00FCE4E4"/>
        </patternFill>
      </fill>
    </dxf>
    <dxf>
      <fill>
        <patternFill patternType="solid">
          <fgColor rgb="00E03C3C"/>
          <bgColor rgb="00E03C3C"/>
        </patternFill>
      </fill>
    </dxf>
    <dxf>
      <fill>
        <patternFill patternType="solid">
          <fgColor rgb="005B8DEF"/>
          <bgColor rgb="005B8DEF"/>
        </patternFill>
      </fill>
    </dxf>
    <dxf>
      <fill>
        <patternFill patternType="solid">
          <fgColor rgb="00FDE7C2"/>
          <bgColor rgb="00FDE7C2"/>
        </patternFill>
      </fill>
    </dxf>
    <dxf>
      <fill>
        <patternFill patternType="solid">
          <fgColor rgb="00F5A623"/>
          <bgColor rgb="00F5A623"/>
        </patternFill>
      </fill>
    </dxf>
    <dxf>
      <fill>
        <patternFill patternType="solid">
          <fgColor rgb="00F8CBCB"/>
          <bgColor rgb="00F8CBCB"/>
        </patternFill>
      </fill>
    </dxf>
    <dxf>
      <fill>
        <patternFill patternType="solid">
          <fgColor rgb="00FCE4C4"/>
          <bgColor rgb="00FCE4C4"/>
        </patternFill>
      </fill>
    </dxf>
    <dxf>
      <fill>
        <patternFill patternType="solid">
          <fgColor rgb="00D8F0DD"/>
          <bgColor rgb="00D8F0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90" customWidth="1" min="3" max="3"/>
  </cols>
  <sheetData>
    <row r="2">
      <c r="B2" s="1" t="inlineStr">
        <is>
          <t>LỊCH DỰ ÁN PHARMADASH – Bài Lab QLDA CNTT</t>
        </is>
      </c>
    </row>
    <row r="3">
      <c r="B3" s="2" t="inlineStr">
        <is>
          <t>Dự án giả định: xây dựng Dashboard điều hành cho chuỗi Nhà thuốc Tâm An (hư cấu). Đơn vị thời gian: ngày làm việc (T2–T6).</t>
        </is>
      </c>
    </row>
    <row r="5">
      <c r="B5" s="3" t="inlineStr">
        <is>
          <t>Quy ước màu</t>
        </is>
      </c>
      <c r="C5" s="4" t="inlineStr"/>
    </row>
    <row r="6">
      <c r="B6" s="5" t="inlineStr">
        <is>
          <t>Chữ xanh dương</t>
        </is>
      </c>
      <c r="C6" s="4" t="inlineStr">
        <is>
          <t>Số liệu đầu vào (giả định) – được phép sửa: giờ công, đơn giá, O/M/P, xác suất/tác động...</t>
        </is>
      </c>
    </row>
    <row r="7">
      <c r="B7" s="3" t="inlineStr">
        <is>
          <t>Chữ đen</t>
        </is>
      </c>
      <c r="C7" s="4" t="inlineStr">
        <is>
          <t>Công thức – KHÔNG sửa, tự tính lại khi đầu vào thay đổi.</t>
        </is>
      </c>
    </row>
    <row r="8">
      <c r="B8" s="6" t="inlineStr">
        <is>
          <t>Nền vàng</t>
        </is>
      </c>
      <c r="C8" s="4" t="inlineStr">
        <is>
          <t>Ô nhóm phải TỰ ĐIỀN (kết quả AI trong Claude Project để so sánh, rủi ro nhóm tự bổ sung...).</t>
        </is>
      </c>
    </row>
    <row r="9">
      <c r="B9" s="3" t="inlineStr"/>
      <c r="C9" s="4" t="inlineStr"/>
    </row>
    <row r="10">
      <c r="B10" s="3" t="inlineStr">
        <is>
          <t>Các sheet</t>
        </is>
      </c>
      <c r="C10" s="4" t="inlineStr"/>
    </row>
    <row r="11">
      <c r="B11" s="3" t="inlineStr">
        <is>
          <t>WBS</t>
        </is>
      </c>
      <c r="C11" s="4" t="inlineStr">
        <is>
          <t>WBS 3 cấp, giờ công từng gói công việc, tự kiểm tra quy tắc 8/80 và tổng giờ (quy tắc 100%).</t>
        </is>
      </c>
    </row>
    <row r="12">
      <c r="B12" s="3" t="inlineStr">
        <is>
          <t>ChiPhi</t>
        </is>
      </c>
      <c r="C12" s="4" t="inlineStr">
        <is>
          <t>Ước lượng chi phí từ giờ công WBS × đơn giá theo vai trò + chi phí khác + dự phòng, so với ngân sách.</t>
        </is>
      </c>
    </row>
    <row r="13">
      <c r="B13" s="3" t="inlineStr">
        <is>
          <t>PERT</t>
        </is>
      </c>
      <c r="C13" s="4" t="inlineStr">
        <is>
          <t>Ước lượng 3 điểm TE = (O + 4M + P)/6, ES/EF/LS/LF, Slack, đường găng, độ lệch chuẩn, xác suất kịp hạn. Cột "TE theo AI" để nhóm nhập kết quả Claude trả lời và so sánh.</t>
        </is>
      </c>
    </row>
    <row r="14">
      <c r="B14" s="3" t="inlineStr">
        <is>
          <t>Gantt</t>
        </is>
      </c>
      <c r="C14" s="4" t="inlineStr">
        <is>
          <t>Biểu đồ Gantt tự vẽ từ ES/EF (đỏ = hoạt động găng, xanh = không găng, cột cam = hạn chót).</t>
        </is>
      </c>
    </row>
    <row r="15">
      <c r="B15" s="3" t="inlineStr">
        <is>
          <t>NenLich</t>
        </is>
      </c>
      <c r="C15" s="4" t="inlineStr">
        <is>
          <t>Kịch bản nén lịch (fast-tracking + giảm phạm vi) – lịch mới, đường găng mới, xác suất kịp hạn.</t>
        </is>
      </c>
    </row>
    <row r="16">
      <c r="B16" s="3" t="inlineStr">
        <is>
          <t>RuiRo</t>
        </is>
      </c>
      <c r="C16" s="4" t="inlineStr">
        <is>
          <t>Sổ đăng ký rủi ro (Risk Register), sắp theo điểm giảm dần. 2 dòng cuối để nhóm tự bổ sung.</t>
        </is>
      </c>
    </row>
    <row r="17">
      <c r="B17" s="3" t="inlineStr">
        <is>
          <t>MaTran</t>
        </is>
      </c>
      <c r="C17" s="4" t="inlineStr">
        <is>
          <t>Ma trận xác suất × tác động 5×5, tự điền mã rủi ro theo sheet RuiRo.</t>
        </is>
      </c>
    </row>
    <row r="18">
      <c r="B18" s="3" t="inlineStr"/>
      <c r="C18" s="4" t="inlineStr"/>
    </row>
    <row r="19">
      <c r="B19" s="3" t="inlineStr">
        <is>
          <t>Lưu ý</t>
        </is>
      </c>
      <c r="C19" s="4" t="inlineStr">
        <is>
          <t>Các số O/M/P, giờ công, đơn giá là GIẢ ĐỊNH do AI đề xuất làm bản nháp – nhóm cần xem lại và điều chỉnh theo ý kiến của nhóm.</t>
        </is>
      </c>
    </row>
    <row r="20">
      <c r="B20" s="3" t="inlineStr"/>
      <c r="C20" s="4" t="inlineStr">
        <is>
          <t>Nếu sửa XS/TĐ trong sheet RuiRo, hãy sắp xếp lại bảng theo cột Điểm (Data → Sort) để đúng yêu cầu "sắp theo điểm giảm dần".</t>
        </is>
      </c>
    </row>
    <row r="21">
      <c r="B21" s="3" t="inlineStr"/>
      <c r="C21" s="4" t="inlineStr">
        <is>
          <t>Nếu thêm/bớt hoạt động PERT, phải sửa lại công thức ES (MAX EF của hoạt động trước) và LF (MIN LS của hoạt động sau).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44" customWidth="1" min="4" max="4"/>
    <col width="11" customWidth="1" min="5" max="5"/>
    <col width="10" customWidth="1" min="6" max="6"/>
    <col width="14" customWidth="1" min="7" max="7"/>
  </cols>
  <sheetData>
    <row r="1">
      <c r="A1" s="1" t="inlineStr">
        <is>
          <t>CẤU TRÚC PHÂN RÃ CÔNG VIỆC (WBS) – PHARMADASH</t>
        </is>
      </c>
    </row>
    <row r="2">
      <c r="A2" s="2" t="inlineStr">
        <is>
          <t>Giờ công là giả định (chữ xanh). Cấp 1–2 tự cộng từ các gói công việc cấp 3. Quy tắc 8/80: mỗi gói 8–80 giờ công.</t>
        </is>
      </c>
    </row>
    <row r="4">
      <c r="A4" s="7" t="inlineStr">
        <is>
          <t>Mã WBS</t>
        </is>
      </c>
      <c r="B4" s="7" t="inlineStr">
        <is>
          <t>Cấp</t>
        </is>
      </c>
      <c r="C4" s="7" t="inlineStr">
        <is>
          <t>Tên hạng mục / gói công việc</t>
        </is>
      </c>
      <c r="D4" s="7" t="inlineStr">
        <is>
          <t>Sản phẩm bàn giao</t>
        </is>
      </c>
      <c r="E4" s="7" t="inlineStr">
        <is>
          <t>Vai trò chính</t>
        </is>
      </c>
      <c r="F4" s="7" t="inlineStr">
        <is>
          <t>Giờ công</t>
        </is>
      </c>
      <c r="G4" s="7" t="inlineStr">
        <is>
          <t>Kiểm tra 8/80</t>
        </is>
      </c>
    </row>
    <row r="5">
      <c r="A5" s="8" t="inlineStr">
        <is>
          <t>1.0</t>
        </is>
      </c>
      <c r="B5" s="9" t="n">
        <v>1</v>
      </c>
      <c r="C5" s="10" t="inlineStr">
        <is>
          <t>Quản lý dự án</t>
        </is>
      </c>
      <c r="D5" s="11" t="inlineStr">
        <is>
          <t>Hồ sơ quản lý dự án</t>
        </is>
      </c>
      <c r="E5" s="12" t="inlineStr">
        <is>
          <t>PM</t>
        </is>
      </c>
      <c r="F5" s="13">
        <f>SUMIFS($F$5:$F$78,$A$5:$A$78,"1.*",$B$5:$B$78,3)</f>
        <v/>
      </c>
      <c r="G5" s="14" t="inlineStr"/>
    </row>
    <row r="6">
      <c r="A6" s="15" t="inlineStr">
        <is>
          <t>1.1</t>
        </is>
      </c>
      <c r="B6" s="16" t="n">
        <v>2</v>
      </c>
      <c r="C6" s="17" t="inlineStr">
        <is>
          <t xml:space="preserve">    Khởi động dự án</t>
        </is>
      </c>
      <c r="D6" s="18" t="inlineStr">
        <is>
          <t>Charter đã phê duyệt</t>
        </is>
      </c>
      <c r="E6" s="19" t="inlineStr">
        <is>
          <t>PM</t>
        </is>
      </c>
      <c r="F6" s="20">
        <f>SUMIFS($F$5:$F$78,$A$5:$A$78,"1.1.*",$B$5:$B$78,3)</f>
        <v/>
      </c>
      <c r="G6" s="21" t="inlineStr"/>
    </row>
    <row r="7">
      <c r="A7" s="22" t="inlineStr">
        <is>
          <t>1.1.1</t>
        </is>
      </c>
      <c r="B7" s="23" t="n">
        <v>3</v>
      </c>
      <c r="C7" s="24" t="inlineStr">
        <is>
          <t xml:space="preserve">        Soạn và phê duyệt Project Charter</t>
        </is>
      </c>
      <c r="D7" s="24" t="inlineStr">
        <is>
          <t>Project Charter có chữ ký Sponsor</t>
        </is>
      </c>
      <c r="E7" s="23" t="inlineStr">
        <is>
          <t>PM</t>
        </is>
      </c>
      <c r="F7" s="25" t="n">
        <v>16</v>
      </c>
      <c r="G7" s="23">
        <f>IF(AND(F7&gt;=8,F7&lt;=80),"Đạt","Vi phạm 8/80")</f>
        <v/>
      </c>
    </row>
    <row r="8">
      <c r="A8" s="22" t="inlineStr">
        <is>
          <t>1.1.2</t>
        </is>
      </c>
      <c r="B8" s="23" t="n">
        <v>3</v>
      </c>
      <c r="C8" s="24" t="inlineStr">
        <is>
          <t xml:space="preserve">        Họp khởi động (kick-off)</t>
        </is>
      </c>
      <c r="D8" s="24" t="inlineStr">
        <is>
          <t>Biên bản họp khởi động</t>
        </is>
      </c>
      <c r="E8" s="23" t="inlineStr">
        <is>
          <t>PM</t>
        </is>
      </c>
      <c r="F8" s="25" t="n">
        <v>8</v>
      </c>
      <c r="G8" s="23">
        <f>IF(AND(F8&gt;=8,F8&lt;=80),"Đạt","Vi phạm 8/80")</f>
        <v/>
      </c>
    </row>
    <row r="9">
      <c r="A9" s="15" t="inlineStr">
        <is>
          <t>1.2</t>
        </is>
      </c>
      <c r="B9" s="16" t="n">
        <v>2</v>
      </c>
      <c r="C9" s="17" t="inlineStr">
        <is>
          <t xml:space="preserve">    Lập kế hoạch</t>
        </is>
      </c>
      <c r="D9" s="18" t="inlineStr">
        <is>
          <t>Kế hoạch quản lý dự án</t>
        </is>
      </c>
      <c r="E9" s="19" t="inlineStr">
        <is>
          <t>PM</t>
        </is>
      </c>
      <c r="F9" s="20">
        <f>SUMIFS($F$5:$F$78,$A$5:$A$78,"1.2.*",$B$5:$B$78,3)</f>
        <v/>
      </c>
      <c r="G9" s="21" t="inlineStr"/>
    </row>
    <row r="10">
      <c r="A10" s="22" t="inlineStr">
        <is>
          <t>1.2.1</t>
        </is>
      </c>
      <c r="B10" s="23" t="n">
        <v>3</v>
      </c>
      <c r="C10" s="24" t="inlineStr">
        <is>
          <t xml:space="preserve">        WBS và từ điển WBS</t>
        </is>
      </c>
      <c r="D10" s="24" t="inlineStr">
        <is>
          <t>WBS 3 cấp + từ điển WBS</t>
        </is>
      </c>
      <c r="E10" s="23" t="inlineStr">
        <is>
          <t>PM</t>
        </is>
      </c>
      <c r="F10" s="25" t="n">
        <v>16</v>
      </c>
      <c r="G10" s="23">
        <f>IF(AND(F10&gt;=8,F10&lt;=80),"Đạt","Vi phạm 8/80")</f>
        <v/>
      </c>
    </row>
    <row r="11">
      <c r="A11" s="22" t="inlineStr">
        <is>
          <t>1.2.2</t>
        </is>
      </c>
      <c r="B11" s="23" t="n">
        <v>3</v>
      </c>
      <c r="C11" s="24" t="inlineStr">
        <is>
          <t xml:space="preserve">        Lịch dự án và dự toán chi phí</t>
        </is>
      </c>
      <c r="D11" s="24" t="inlineStr">
        <is>
          <t>File lịch PERT/Gantt, dự toán</t>
        </is>
      </c>
      <c r="E11" s="23" t="inlineStr">
        <is>
          <t>PM</t>
        </is>
      </c>
      <c r="F11" s="25" t="n">
        <v>16</v>
      </c>
      <c r="G11" s="23">
        <f>IF(AND(F11&gt;=8,F11&lt;=80),"Đạt","Vi phạm 8/80")</f>
        <v/>
      </c>
    </row>
    <row r="12">
      <c r="A12" s="22" t="inlineStr">
        <is>
          <t>1.2.3</t>
        </is>
      </c>
      <c r="B12" s="23" t="n">
        <v>3</v>
      </c>
      <c r="C12" s="24" t="inlineStr">
        <is>
          <t xml:space="preserve">        Kế hoạch quản lý rủi ro</t>
        </is>
      </c>
      <c r="D12" s="24" t="inlineStr">
        <is>
          <t>Risk Register</t>
        </is>
      </c>
      <c r="E12" s="23" t="inlineStr">
        <is>
          <t>PM</t>
        </is>
      </c>
      <c r="F12" s="25" t="n">
        <v>12</v>
      </c>
      <c r="G12" s="23">
        <f>IF(AND(F12&gt;=8,F12&lt;=80),"Đạt","Vi phạm 8/80")</f>
        <v/>
      </c>
    </row>
    <row r="13">
      <c r="A13" s="15" t="inlineStr">
        <is>
          <t>1.3</t>
        </is>
      </c>
      <c r="B13" s="16" t="n">
        <v>2</v>
      </c>
      <c r="C13" s="17" t="inlineStr">
        <is>
          <t xml:space="preserve">    Giám sát và kiểm soát</t>
        </is>
      </c>
      <c r="D13" s="18" t="inlineStr">
        <is>
          <t>Báo cáo tiến độ</t>
        </is>
      </c>
      <c r="E13" s="19" t="inlineStr">
        <is>
          <t>PM</t>
        </is>
      </c>
      <c r="F13" s="20">
        <f>SUMIFS($F$5:$F$78,$A$5:$A$78,"1.3.*",$B$5:$B$78,3)</f>
        <v/>
      </c>
      <c r="G13" s="21" t="inlineStr"/>
    </row>
    <row r="14">
      <c r="A14" s="22" t="inlineStr">
        <is>
          <t>1.3.1</t>
        </is>
      </c>
      <c r="B14" s="23" t="n">
        <v>3</v>
      </c>
      <c r="C14" s="24" t="inlineStr">
        <is>
          <t xml:space="preserve">        Họp tiến độ hằng tuần và báo cáo (13 tuần)</t>
        </is>
      </c>
      <c r="D14" s="24" t="inlineStr">
        <is>
          <t>13 báo cáo tuần</t>
        </is>
      </c>
      <c r="E14" s="23" t="inlineStr">
        <is>
          <t>PM</t>
        </is>
      </c>
      <c r="F14" s="25" t="n">
        <v>52</v>
      </c>
      <c r="G14" s="23">
        <f>IF(AND(F14&gt;=8,F14&lt;=80),"Đạt","Vi phạm 8/80")</f>
        <v/>
      </c>
    </row>
    <row r="15">
      <c r="A15" s="22" t="inlineStr">
        <is>
          <t>1.3.2</t>
        </is>
      </c>
      <c r="B15" s="23" t="n">
        <v>3</v>
      </c>
      <c r="C15" s="24" t="inlineStr">
        <is>
          <t xml:space="preserve">        Demo cuối tháng với Giám đốc (3 lần)</t>
        </is>
      </c>
      <c r="D15" s="24" t="inlineStr">
        <is>
          <t>3 biên bản demo, danh sách yêu cầu thay đổi</t>
        </is>
      </c>
      <c r="E15" s="23" t="inlineStr">
        <is>
          <t>PM</t>
        </is>
      </c>
      <c r="F15" s="25" t="n">
        <v>24</v>
      </c>
      <c r="G15" s="23">
        <f>IF(AND(F15&gt;=8,F15&lt;=80),"Đạt","Vi phạm 8/80")</f>
        <v/>
      </c>
    </row>
    <row r="16">
      <c r="A16" s="15" t="inlineStr">
        <is>
          <t>1.4</t>
        </is>
      </c>
      <c r="B16" s="16" t="n">
        <v>2</v>
      </c>
      <c r="C16" s="17" t="inlineStr">
        <is>
          <t xml:space="preserve">    Kết thúc dự án</t>
        </is>
      </c>
      <c r="D16" s="18" t="inlineStr">
        <is>
          <t>Hồ sơ đóng dự án</t>
        </is>
      </c>
      <c r="E16" s="19" t="inlineStr">
        <is>
          <t>PM</t>
        </is>
      </c>
      <c r="F16" s="20">
        <f>SUMIFS($F$5:$F$78,$A$5:$A$78,"1.4.*",$B$5:$B$78,3)</f>
        <v/>
      </c>
      <c r="G16" s="21" t="inlineStr"/>
    </row>
    <row r="17">
      <c r="A17" s="22" t="inlineStr">
        <is>
          <t>1.4.1</t>
        </is>
      </c>
      <c r="B17" s="23" t="n">
        <v>3</v>
      </c>
      <c r="C17" s="24" t="inlineStr">
        <is>
          <t xml:space="preserve">        Nghiệm thu, bàn giao và rút kinh nghiệm</t>
        </is>
      </c>
      <c r="D17" s="24" t="inlineStr">
        <is>
          <t>Biên bản nghiệm thu, báo cáo bài học</t>
        </is>
      </c>
      <c r="E17" s="23" t="inlineStr">
        <is>
          <t>PM</t>
        </is>
      </c>
      <c r="F17" s="25" t="n">
        <v>12</v>
      </c>
      <c r="G17" s="23">
        <f>IF(AND(F17&gt;=8,F17&lt;=80),"Đạt","Vi phạm 8/80")</f>
        <v/>
      </c>
    </row>
    <row r="18">
      <c r="A18" s="8" t="inlineStr">
        <is>
          <t>2.0</t>
        </is>
      </c>
      <c r="B18" s="9" t="n">
        <v>1</v>
      </c>
      <c r="C18" s="10" t="inlineStr">
        <is>
          <t>Phân tích yêu cầu</t>
        </is>
      </c>
      <c r="D18" s="11" t="inlineStr">
        <is>
          <t>Tài liệu SRS đã duyệt</t>
        </is>
      </c>
      <c r="E18" s="12" t="inlineStr">
        <is>
          <t>BA</t>
        </is>
      </c>
      <c r="F18" s="13">
        <f>SUMIFS($F$5:$F$78,$A$5:$A$78,"2.*",$B$5:$B$78,3)</f>
        <v/>
      </c>
      <c r="G18" s="14" t="inlineStr"/>
    </row>
    <row r="19">
      <c r="A19" s="15" t="inlineStr">
        <is>
          <t>2.1</t>
        </is>
      </c>
      <c r="B19" s="16" t="n">
        <v>2</v>
      </c>
      <c r="C19" s="17" t="inlineStr">
        <is>
          <t xml:space="preserve">    Khảo sát nghiệp vụ</t>
        </is>
      </c>
      <c r="D19" s="18" t="inlineStr">
        <is>
          <t>Báo cáo khảo sát</t>
        </is>
      </c>
      <c r="E19" s="19" t="inlineStr">
        <is>
          <t>BA</t>
        </is>
      </c>
      <c r="F19" s="20">
        <f>SUMIFS($F$5:$F$78,$A$5:$A$78,"2.1.*",$B$5:$B$78,3)</f>
        <v/>
      </c>
      <c r="G19" s="21" t="inlineStr"/>
    </row>
    <row r="20">
      <c r="A20" s="22" t="inlineStr">
        <is>
          <t>2.1.1</t>
        </is>
      </c>
      <c r="B20" s="23" t="n">
        <v>3</v>
      </c>
      <c r="C20" s="24" t="inlineStr">
        <is>
          <t xml:space="preserve">        Phỏng vấn chủ, quản lý, nhân viên 2 chi nhánh</t>
        </is>
      </c>
      <c r="D20" s="24" t="inlineStr">
        <is>
          <t>Biên bản phỏng vấn, quy trình hiện tại (AS-IS)</t>
        </is>
      </c>
      <c r="E20" s="23" t="inlineStr">
        <is>
          <t>BA</t>
        </is>
      </c>
      <c r="F20" s="25" t="n">
        <v>24</v>
      </c>
      <c r="G20" s="23">
        <f>IF(AND(F20&gt;=8,F20&lt;=80),"Đạt","Vi phạm 8/80")</f>
        <v/>
      </c>
    </row>
    <row r="21">
      <c r="A21" s="22" t="inlineStr">
        <is>
          <t>2.1.2</t>
        </is>
      </c>
      <c r="B21" s="23" t="n">
        <v>3</v>
      </c>
      <c r="C21" s="24" t="inlineStr">
        <is>
          <t xml:space="preserve">        Khảo sát phần mềm bán hàng và file Excel tồn kho</t>
        </is>
      </c>
      <c r="D21" s="24" t="inlineStr">
        <is>
          <t>Báo cáo hiện trạng dữ liệu</t>
        </is>
      </c>
      <c r="E21" s="23" t="inlineStr">
        <is>
          <t>BA</t>
        </is>
      </c>
      <c r="F21" s="25" t="n">
        <v>16</v>
      </c>
      <c r="G21" s="23">
        <f>IF(AND(F21&gt;=8,F21&lt;=80),"Đạt","Vi phạm 8/80")</f>
        <v/>
      </c>
    </row>
    <row r="22">
      <c r="A22" s="15" t="inlineStr">
        <is>
          <t>2.2</t>
        </is>
      </c>
      <c r="B22" s="16" t="n">
        <v>2</v>
      </c>
      <c r="C22" s="17" t="inlineStr">
        <is>
          <t xml:space="preserve">    Đặc tả yêu cầu</t>
        </is>
      </c>
      <c r="D22" s="18" t="inlineStr">
        <is>
          <t>SRS</t>
        </is>
      </c>
      <c r="E22" s="19" t="inlineStr">
        <is>
          <t>BA</t>
        </is>
      </c>
      <c r="F22" s="20">
        <f>SUMIFS($F$5:$F$78,$A$5:$A$78,"2.2.*",$B$5:$B$78,3)</f>
        <v/>
      </c>
      <c r="G22" s="21" t="inlineStr"/>
    </row>
    <row r="23">
      <c r="A23" s="22" t="inlineStr">
        <is>
          <t>2.2.1</t>
        </is>
      </c>
      <c r="B23" s="23" t="n">
        <v>3</v>
      </c>
      <c r="C23" s="24" t="inlineStr">
        <is>
          <t xml:space="preserve">        Viết user story và tiêu chí chấp nhận</t>
        </is>
      </c>
      <c r="D23" s="24" t="inlineStr">
        <is>
          <t>Product backlog có tiêu chí chấp nhận</t>
        </is>
      </c>
      <c r="E23" s="23" t="inlineStr">
        <is>
          <t>BA</t>
        </is>
      </c>
      <c r="F23" s="25" t="n">
        <v>32</v>
      </c>
      <c r="G23" s="23">
        <f>IF(AND(F23&gt;=8,F23&lt;=80),"Đạt","Vi phạm 8/80")</f>
        <v/>
      </c>
    </row>
    <row r="24">
      <c r="A24" s="22" t="inlineStr">
        <is>
          <t>2.2.2</t>
        </is>
      </c>
      <c r="B24" s="23" t="n">
        <v>3</v>
      </c>
      <c r="C24" s="24" t="inlineStr">
        <is>
          <t xml:space="preserve">        Đặc tả use case và quy tắc nghiệp vụ (hạn dùng, phân quyền)</t>
        </is>
      </c>
      <c r="D24" s="24" t="inlineStr">
        <is>
          <t>Tài liệu use case</t>
        </is>
      </c>
      <c r="E24" s="23" t="inlineStr">
        <is>
          <t>BA</t>
        </is>
      </c>
      <c r="F24" s="25" t="n">
        <v>24</v>
      </c>
      <c r="G24" s="23">
        <f>IF(AND(F24&gt;=8,F24&lt;=80),"Đạt","Vi phạm 8/80")</f>
        <v/>
      </c>
    </row>
    <row r="25">
      <c r="A25" s="22" t="inlineStr">
        <is>
          <t>2.2.3</t>
        </is>
      </c>
      <c r="B25" s="23" t="n">
        <v>3</v>
      </c>
      <c r="C25" s="24" t="inlineStr">
        <is>
          <t xml:space="preserve">        Rà soát và phê duyệt SRS với khách hàng</t>
        </is>
      </c>
      <c r="D25" s="24" t="inlineStr">
        <is>
          <t>SRS có xác nhận của khách hàng</t>
        </is>
      </c>
      <c r="E25" s="23" t="inlineStr">
        <is>
          <t>BA</t>
        </is>
      </c>
      <c r="F25" s="25" t="n">
        <v>8</v>
      </c>
      <c r="G25" s="23">
        <f>IF(AND(F25&gt;=8,F25&lt;=80),"Đạt","Vi phạm 8/80")</f>
        <v/>
      </c>
    </row>
    <row r="26">
      <c r="A26" s="8" t="inlineStr">
        <is>
          <t>3.0</t>
        </is>
      </c>
      <c r="B26" s="9" t="n">
        <v>1</v>
      </c>
      <c r="C26" s="10" t="inlineStr">
        <is>
          <t>Thiết kế hệ thống</t>
        </is>
      </c>
      <c r="D26" s="11" t="inlineStr">
        <is>
          <t>Tài liệu thiết kế</t>
        </is>
      </c>
      <c r="E26" s="12" t="inlineStr">
        <is>
          <t>BE</t>
        </is>
      </c>
      <c r="F26" s="13">
        <f>SUMIFS($F$5:$F$78,$A$5:$A$78,"3.*",$B$5:$B$78,3)</f>
        <v/>
      </c>
      <c r="G26" s="14" t="inlineStr"/>
    </row>
    <row r="27">
      <c r="A27" s="15" t="inlineStr">
        <is>
          <t>3.1</t>
        </is>
      </c>
      <c r="B27" s="16" t="n">
        <v>2</v>
      </c>
      <c r="C27" s="17" t="inlineStr">
        <is>
          <t xml:space="preserve">    Thiết kế kiến trúc và dữ liệu</t>
        </is>
      </c>
      <c r="D27" s="18" t="inlineStr">
        <is>
          <t>Tài liệu kiến trúc</t>
        </is>
      </c>
      <c r="E27" s="19" t="inlineStr">
        <is>
          <t>BE</t>
        </is>
      </c>
      <c r="F27" s="20">
        <f>SUMIFS($F$5:$F$78,$A$5:$A$78,"3.1.*",$B$5:$B$78,3)</f>
        <v/>
      </c>
      <c r="G27" s="21" t="inlineStr"/>
    </row>
    <row r="28">
      <c r="A28" s="22" t="inlineStr">
        <is>
          <t>3.1.1</t>
        </is>
      </c>
      <c r="B28" s="23" t="n">
        <v>3</v>
      </c>
      <c r="C28" s="24" t="inlineStr">
        <is>
          <t xml:space="preserve">        Thiết kế kiến trúc hệ thống</t>
        </is>
      </c>
      <c r="D28" s="24" t="inlineStr">
        <is>
          <t>Sơ đồ kiến trúc</t>
        </is>
      </c>
      <c r="E28" s="23" t="inlineStr">
        <is>
          <t>BE</t>
        </is>
      </c>
      <c r="F28" s="25" t="n">
        <v>16</v>
      </c>
      <c r="G28" s="23">
        <f>IF(AND(F28&gt;=8,F28&lt;=80),"Đạt","Vi phạm 8/80")</f>
        <v/>
      </c>
    </row>
    <row r="29">
      <c r="A29" s="22" t="inlineStr">
        <is>
          <t>3.1.2</t>
        </is>
      </c>
      <c r="B29" s="23" t="n">
        <v>3</v>
      </c>
      <c r="C29" s="24" t="inlineStr">
        <is>
          <t xml:space="preserve">        Thiết kế CSDL (ERD, tồn kho theo lô)</t>
        </is>
      </c>
      <c r="D29" s="24" t="inlineStr">
        <is>
          <t>ERD, script tạo CSDL</t>
        </is>
      </c>
      <c r="E29" s="23" t="inlineStr">
        <is>
          <t>BE</t>
        </is>
      </c>
      <c r="F29" s="25" t="n">
        <v>24</v>
      </c>
      <c r="G29" s="23">
        <f>IF(AND(F29&gt;=8,F29&lt;=80),"Đạt","Vi phạm 8/80")</f>
        <v/>
      </c>
    </row>
    <row r="30">
      <c r="A30" s="22" t="inlineStr">
        <is>
          <t>3.1.3</t>
        </is>
      </c>
      <c r="B30" s="23" t="n">
        <v>3</v>
      </c>
      <c r="C30" s="24" t="inlineStr">
        <is>
          <t xml:space="preserve">        Đặc tả API</t>
        </is>
      </c>
      <c r="D30" s="24" t="inlineStr">
        <is>
          <t>Danh sách API</t>
        </is>
      </c>
      <c r="E30" s="23" t="inlineStr">
        <is>
          <t>BE</t>
        </is>
      </c>
      <c r="F30" s="25" t="n">
        <v>16</v>
      </c>
      <c r="G30" s="23">
        <f>IF(AND(F30&gt;=8,F30&lt;=80),"Đạt","Vi phạm 8/80")</f>
        <v/>
      </c>
    </row>
    <row r="31">
      <c r="A31" s="15" t="inlineStr">
        <is>
          <t>3.2</t>
        </is>
      </c>
      <c r="B31" s="16" t="n">
        <v>2</v>
      </c>
      <c r="C31" s="17" t="inlineStr">
        <is>
          <t xml:space="preserve">    Thiết kế giao diện</t>
        </is>
      </c>
      <c r="D31" s="18" t="inlineStr">
        <is>
          <t>Bộ thiết kế UI</t>
        </is>
      </c>
      <c r="E31" s="19" t="inlineStr">
        <is>
          <t>FE</t>
        </is>
      </c>
      <c r="F31" s="20">
        <f>SUMIFS($F$5:$F$78,$A$5:$A$78,"3.2.*",$B$5:$B$78,3)</f>
        <v/>
      </c>
      <c r="G31" s="21" t="inlineStr"/>
    </row>
    <row r="32">
      <c r="A32" s="22" t="inlineStr">
        <is>
          <t>3.2.1</t>
        </is>
      </c>
      <c r="B32" s="23" t="n">
        <v>3</v>
      </c>
      <c r="C32" s="24" t="inlineStr">
        <is>
          <t xml:space="preserve">        Design token và wireframe</t>
        </is>
      </c>
      <c r="D32" s="24" t="inlineStr">
        <is>
          <t>Wireframe, bảng màu, font</t>
        </is>
      </c>
      <c r="E32" s="23" t="inlineStr">
        <is>
          <t>FE</t>
        </is>
      </c>
      <c r="F32" s="25" t="n">
        <v>32</v>
      </c>
      <c r="G32" s="23">
        <f>IF(AND(F32&gt;=8,F32&lt;=80),"Đạt","Vi phạm 8/80")</f>
        <v/>
      </c>
    </row>
    <row r="33">
      <c r="A33" s="22" t="inlineStr">
        <is>
          <t>3.2.2</t>
        </is>
      </c>
      <c r="B33" s="23" t="n">
        <v>3</v>
      </c>
      <c r="C33" s="24" t="inlineStr">
        <is>
          <t xml:space="preserve">        Mockup các màn hình chính</t>
        </is>
      </c>
      <c r="D33" s="24" t="inlineStr">
        <is>
          <t>Mockup 8 màn hình</t>
        </is>
      </c>
      <c r="E33" s="23" t="inlineStr">
        <is>
          <t>FE</t>
        </is>
      </c>
      <c r="F33" s="25" t="n">
        <v>40</v>
      </c>
      <c r="G33" s="23">
        <f>IF(AND(F33&gt;=8,F33&lt;=80),"Đạt","Vi phạm 8/80")</f>
        <v/>
      </c>
    </row>
    <row r="34">
      <c r="A34" s="8" t="inlineStr">
        <is>
          <t>4.0</t>
        </is>
      </c>
      <c r="B34" s="9" t="n">
        <v>1</v>
      </c>
      <c r="C34" s="10" t="inlineStr">
        <is>
          <t>Phát triển Backend</t>
        </is>
      </c>
      <c r="D34" s="11" t="inlineStr">
        <is>
          <t>API và CSDL hoạt động</t>
        </is>
      </c>
      <c r="E34" s="12" t="inlineStr">
        <is>
          <t>BE</t>
        </is>
      </c>
      <c r="F34" s="13">
        <f>SUMIFS($F$5:$F$78,$A$5:$A$78,"4.*",$B$5:$B$78,3)</f>
        <v/>
      </c>
      <c r="G34" s="14" t="inlineStr"/>
    </row>
    <row r="35">
      <c r="A35" s="15" t="inlineStr">
        <is>
          <t>4.1</t>
        </is>
      </c>
      <c r="B35" s="16" t="n">
        <v>2</v>
      </c>
      <c r="C35" s="17" t="inlineStr">
        <is>
          <t xml:space="preserve">    Nền tảng backend</t>
        </is>
      </c>
      <c r="D35" s="18" t="inlineStr">
        <is>
          <t>Khung dự án chạy được</t>
        </is>
      </c>
      <c r="E35" s="19" t="inlineStr">
        <is>
          <t>BE</t>
        </is>
      </c>
      <c r="F35" s="20">
        <f>SUMIFS($F$5:$F$78,$A$5:$A$78,"4.1.*",$B$5:$B$78,3)</f>
        <v/>
      </c>
      <c r="G35" s="21" t="inlineStr"/>
    </row>
    <row r="36">
      <c r="A36" s="22" t="inlineStr">
        <is>
          <t>4.1.1</t>
        </is>
      </c>
      <c r="B36" s="23" t="n">
        <v>3</v>
      </c>
      <c r="C36" s="24" t="inlineStr">
        <is>
          <t xml:space="preserve">        Khung dự án, CSDL, môi trường</t>
        </is>
      </c>
      <c r="D36" s="24" t="inlineStr">
        <is>
          <t>Mã nguồn khởi tạo, CSDL</t>
        </is>
      </c>
      <c r="E36" s="23" t="inlineStr">
        <is>
          <t>BE</t>
        </is>
      </c>
      <c r="F36" s="25" t="n">
        <v>16</v>
      </c>
      <c r="G36" s="23">
        <f>IF(AND(F36&gt;=8,F36&lt;=80),"Đạt","Vi phạm 8/80")</f>
        <v/>
      </c>
    </row>
    <row r="37">
      <c r="A37" s="22" t="inlineStr">
        <is>
          <t>4.1.2</t>
        </is>
      </c>
      <c r="B37" s="23" t="n">
        <v>3</v>
      </c>
      <c r="C37" s="24" t="inlineStr">
        <is>
          <t xml:space="preserve">        Xác thực và phân quyền 3 vai trò</t>
        </is>
      </c>
      <c r="D37" s="24" t="inlineStr">
        <is>
          <t>API đăng nhập, phân quyền</t>
        </is>
      </c>
      <c r="E37" s="23" t="inlineStr">
        <is>
          <t>BE</t>
        </is>
      </c>
      <c r="F37" s="25" t="n">
        <v>24</v>
      </c>
      <c r="G37" s="23">
        <f>IF(AND(F37&gt;=8,F37&lt;=80),"Đạt","Vi phạm 8/80")</f>
        <v/>
      </c>
    </row>
    <row r="38">
      <c r="A38" s="15" t="inlineStr">
        <is>
          <t>4.2</t>
        </is>
      </c>
      <c r="B38" s="16" t="n">
        <v>2</v>
      </c>
      <c r="C38" s="17" t="inlineStr">
        <is>
          <t xml:space="preserve">    API nghiệp vụ</t>
        </is>
      </c>
      <c r="D38" s="18" t="inlineStr">
        <is>
          <t>Bộ API nghiệp vụ</t>
        </is>
      </c>
      <c r="E38" s="19" t="inlineStr">
        <is>
          <t>BE</t>
        </is>
      </c>
      <c r="F38" s="20">
        <f>SUMIFS($F$5:$F$78,$A$5:$A$78,"4.2.*",$B$5:$B$78,3)</f>
        <v/>
      </c>
      <c r="G38" s="21" t="inlineStr"/>
    </row>
    <row r="39">
      <c r="A39" s="22" t="inlineStr">
        <is>
          <t>4.2.1</t>
        </is>
      </c>
      <c r="B39" s="23" t="n">
        <v>3</v>
      </c>
      <c r="C39" s="24" t="inlineStr">
        <is>
          <t xml:space="preserve">        API tổng quan (KPI, biểu đồ, top thuốc)</t>
        </is>
      </c>
      <c r="D39" s="24" t="inlineStr">
        <is>
          <t>API dashboard</t>
        </is>
      </c>
      <c r="E39" s="23" t="inlineStr">
        <is>
          <t>BE</t>
        </is>
      </c>
      <c r="F39" s="25" t="n">
        <v>40</v>
      </c>
      <c r="G39" s="23">
        <f>IF(AND(F39&gt;=8,F39&lt;=80),"Đạt","Vi phạm 8/80")</f>
        <v/>
      </c>
    </row>
    <row r="40">
      <c r="A40" s="22" t="inlineStr">
        <is>
          <t>4.2.2</t>
        </is>
      </c>
      <c r="B40" s="23" t="n">
        <v>3</v>
      </c>
      <c r="C40" s="24" t="inlineStr">
        <is>
          <t xml:space="preserve">        API kho thuốc, lô và cảnh báo</t>
        </is>
      </c>
      <c r="D40" s="24" t="inlineStr">
        <is>
          <t>API kho</t>
        </is>
      </c>
      <c r="E40" s="23" t="inlineStr">
        <is>
          <t>BE</t>
        </is>
      </c>
      <c r="F40" s="25" t="n">
        <v>40</v>
      </c>
      <c r="G40" s="23">
        <f>IF(AND(F40&gt;=8,F40&lt;=80),"Đạt","Vi phạm 8/80")</f>
        <v/>
      </c>
    </row>
    <row r="41">
      <c r="A41" s="22" t="inlineStr">
        <is>
          <t>4.2.3</t>
        </is>
      </c>
      <c r="B41" s="23" t="n">
        <v>3</v>
      </c>
      <c r="C41" s="24" t="inlineStr">
        <is>
          <t xml:space="preserve">        API đơn hàng và khách hàng</t>
        </is>
      </c>
      <c r="D41" s="24" t="inlineStr">
        <is>
          <t>API đơn hàng, khách hàng</t>
        </is>
      </c>
      <c r="E41" s="23" t="inlineStr">
        <is>
          <t>BE</t>
        </is>
      </c>
      <c r="F41" s="25" t="n">
        <v>32</v>
      </c>
      <c r="G41" s="23">
        <f>IF(AND(F41&gt;=8,F41&lt;=80),"Đạt","Vi phạm 8/80")</f>
        <v/>
      </c>
    </row>
    <row r="42">
      <c r="A42" s="22" t="inlineStr">
        <is>
          <t>4.2.4</t>
        </is>
      </c>
      <c r="B42" s="23" t="n">
        <v>3</v>
      </c>
      <c r="C42" s="24" t="inlineStr">
        <is>
          <t xml:space="preserve">        API nhập hàng và nhà cung cấp</t>
        </is>
      </c>
      <c r="D42" s="24" t="inlineStr">
        <is>
          <t>API nhập hàng</t>
        </is>
      </c>
      <c r="E42" s="23" t="inlineStr">
        <is>
          <t>BE</t>
        </is>
      </c>
      <c r="F42" s="25" t="n">
        <v>32</v>
      </c>
      <c r="G42" s="23">
        <f>IF(AND(F42&gt;=8,F42&lt;=80),"Đạt","Vi phạm 8/80")</f>
        <v/>
      </c>
    </row>
    <row r="43">
      <c r="A43" s="22" t="inlineStr">
        <is>
          <t>4.2.5</t>
        </is>
      </c>
      <c r="B43" s="23" t="n">
        <v>3</v>
      </c>
      <c r="C43" s="24" t="inlineStr">
        <is>
          <t xml:space="preserve">        API nhân viên, ca làm, lịch</t>
        </is>
      </c>
      <c r="D43" s="24" t="inlineStr">
        <is>
          <t>API nhân viên</t>
        </is>
      </c>
      <c r="E43" s="23" t="inlineStr">
        <is>
          <t>BE</t>
        </is>
      </c>
      <c r="F43" s="25" t="n">
        <v>24</v>
      </c>
      <c r="G43" s="23">
        <f>IF(AND(F43&gt;=8,F43&lt;=80),"Đạt","Vi phạm 8/80")</f>
        <v/>
      </c>
    </row>
    <row r="44">
      <c r="A44" s="15" t="inlineStr">
        <is>
          <t>4.3</t>
        </is>
      </c>
      <c r="B44" s="16" t="n">
        <v>2</v>
      </c>
      <c r="C44" s="17" t="inlineStr">
        <is>
          <t xml:space="preserve">    Báo cáo</t>
        </is>
      </c>
      <c r="D44" s="18" t="inlineStr">
        <is>
          <t>Chức năng xuất báo cáo</t>
        </is>
      </c>
      <c r="E44" s="19" t="inlineStr">
        <is>
          <t>BE</t>
        </is>
      </c>
      <c r="F44" s="20">
        <f>SUMIFS($F$5:$F$78,$A$5:$A$78,"4.3.*",$B$5:$B$78,3)</f>
        <v/>
      </c>
      <c r="G44" s="21" t="inlineStr"/>
    </row>
    <row r="45">
      <c r="A45" s="22" t="inlineStr">
        <is>
          <t>4.3.1</t>
        </is>
      </c>
      <c r="B45" s="23" t="n">
        <v>3</v>
      </c>
      <c r="C45" s="24" t="inlineStr">
        <is>
          <t xml:space="preserve">        Xuất báo cáo CSV/PDF doanh thu, tồn kho</t>
        </is>
      </c>
      <c r="D45" s="24" t="inlineStr">
        <is>
          <t>File CSV/PDF mẫu</t>
        </is>
      </c>
      <c r="E45" s="23" t="inlineStr">
        <is>
          <t>BE</t>
        </is>
      </c>
      <c r="F45" s="25" t="n">
        <v>32</v>
      </c>
      <c r="G45" s="23">
        <f>IF(AND(F45&gt;=8,F45&lt;=80),"Đạt","Vi phạm 8/80")</f>
        <v/>
      </c>
    </row>
    <row r="46">
      <c r="A46" s="15" t="inlineStr">
        <is>
          <t>4.4</t>
        </is>
      </c>
      <c r="B46" s="16" t="n">
        <v>2</v>
      </c>
      <c r="C46" s="17" t="inlineStr">
        <is>
          <t xml:space="preserve">    Tích hợp và chuyển đổi dữ liệu</t>
        </is>
      </c>
      <c r="D46" s="18" t="inlineStr">
        <is>
          <t>Dữ liệu thật trên hệ thống</t>
        </is>
      </c>
      <c r="E46" s="19" t="inlineStr">
        <is>
          <t>BE</t>
        </is>
      </c>
      <c r="F46" s="20">
        <f>SUMIFS($F$5:$F$78,$A$5:$A$78,"4.4.*",$B$5:$B$78,3)</f>
        <v/>
      </c>
      <c r="G46" s="21" t="inlineStr"/>
    </row>
    <row r="47">
      <c r="A47" s="22" t="inlineStr">
        <is>
          <t>4.4.1</t>
        </is>
      </c>
      <c r="B47" s="23" t="n">
        <v>3</v>
      </c>
      <c r="C47" s="24" t="inlineStr">
        <is>
          <t xml:space="preserve">        Đồng bộ dữ liệu bán hàng từ phần mềm bán hàng hiện có</t>
        </is>
      </c>
      <c r="D47" s="24" t="inlineStr">
        <is>
          <t>Bộ đồng bộ dữ liệu</t>
        </is>
      </c>
      <c r="E47" s="23" t="inlineStr">
        <is>
          <t>BE</t>
        </is>
      </c>
      <c r="F47" s="25" t="n">
        <v>60</v>
      </c>
      <c r="G47" s="23">
        <f>IF(AND(F47&gt;=8,F47&lt;=80),"Đạt","Vi phạm 8/80")</f>
        <v/>
      </c>
    </row>
    <row r="48">
      <c r="A48" s="22" t="inlineStr">
        <is>
          <t>4.4.2</t>
        </is>
      </c>
      <c r="B48" s="23" t="n">
        <v>3</v>
      </c>
      <c r="C48" s="24" t="inlineStr">
        <is>
          <t xml:space="preserve">        Chuyển đổi dữ liệu cũ (danh mục, tồn kho, 2 năm bán hàng)</t>
        </is>
      </c>
      <c r="D48" s="24" t="inlineStr">
        <is>
          <t>Script chuyển đổi + báo cáo đối soát</t>
        </is>
      </c>
      <c r="E48" s="23" t="inlineStr">
        <is>
          <t>BE</t>
        </is>
      </c>
      <c r="F48" s="25" t="n">
        <v>40</v>
      </c>
      <c r="G48" s="23">
        <f>IF(AND(F48&gt;=8,F48&lt;=80),"Đạt","Vi phạm 8/80")</f>
        <v/>
      </c>
    </row>
    <row r="49">
      <c r="A49" s="8" t="inlineStr">
        <is>
          <t>5.0</t>
        </is>
      </c>
      <c r="B49" s="9" t="n">
        <v>1</v>
      </c>
      <c r="C49" s="10" t="inlineStr">
        <is>
          <t>Phát triển Frontend</t>
        </is>
      </c>
      <c r="D49" s="11" t="inlineStr">
        <is>
          <t>Giao diện web hoàn chỉnh</t>
        </is>
      </c>
      <c r="E49" s="12" t="inlineStr">
        <is>
          <t>FE</t>
        </is>
      </c>
      <c r="F49" s="13">
        <f>SUMIFS($F$5:$F$78,$A$5:$A$78,"5.*",$B$5:$B$78,3)</f>
        <v/>
      </c>
      <c r="G49" s="14" t="inlineStr"/>
    </row>
    <row r="50">
      <c r="A50" s="15" t="inlineStr">
        <is>
          <t>5.1</t>
        </is>
      </c>
      <c r="B50" s="16" t="n">
        <v>2</v>
      </c>
      <c r="C50" s="17" t="inlineStr">
        <is>
          <t xml:space="preserve">    Khung giao diện</t>
        </is>
      </c>
      <c r="D50" s="18" t="inlineStr">
        <is>
          <t>Layout và thư viện component</t>
        </is>
      </c>
      <c r="E50" s="19" t="inlineStr">
        <is>
          <t>FE</t>
        </is>
      </c>
      <c r="F50" s="20">
        <f>SUMIFS($F$5:$F$78,$A$5:$A$78,"5.1.*",$B$5:$B$78,3)</f>
        <v/>
      </c>
      <c r="G50" s="21" t="inlineStr"/>
    </row>
    <row r="51">
      <c r="A51" s="22" t="inlineStr">
        <is>
          <t>5.1.1</t>
        </is>
      </c>
      <c r="B51" s="23" t="n">
        <v>3</v>
      </c>
      <c r="C51" s="24" t="inlineStr">
        <is>
          <t xml:space="preserve">        Layout, sidebar, topbar, đăng nhập</t>
        </is>
      </c>
      <c r="D51" s="24" t="inlineStr">
        <is>
          <t>Khung ứng dụng</t>
        </is>
      </c>
      <c r="E51" s="23" t="inlineStr">
        <is>
          <t>FE</t>
        </is>
      </c>
      <c r="F51" s="25" t="n">
        <v>32</v>
      </c>
      <c r="G51" s="23">
        <f>IF(AND(F51&gt;=8,F51&lt;=80),"Đạt","Vi phạm 8/80")</f>
        <v/>
      </c>
    </row>
    <row r="52">
      <c r="A52" s="22" t="inlineStr">
        <is>
          <t>5.1.2</t>
        </is>
      </c>
      <c r="B52" s="23" t="n">
        <v>3</v>
      </c>
      <c r="C52" s="24" t="inlineStr">
        <is>
          <t xml:space="preserve">        Thư viện component dùng chung</t>
        </is>
      </c>
      <c r="D52" s="24" t="inlineStr">
        <is>
          <t>KpiCard, ChartCard, DataTable...</t>
        </is>
      </c>
      <c r="E52" s="23" t="inlineStr">
        <is>
          <t>FE</t>
        </is>
      </c>
      <c r="F52" s="25" t="n">
        <v>32</v>
      </c>
      <c r="G52" s="23">
        <f>IF(AND(F52&gt;=8,F52&lt;=80),"Đạt","Vi phạm 8/80")</f>
        <v/>
      </c>
    </row>
    <row r="53">
      <c r="A53" s="15" t="inlineStr">
        <is>
          <t>5.2</t>
        </is>
      </c>
      <c r="B53" s="16" t="n">
        <v>2</v>
      </c>
      <c r="C53" s="17" t="inlineStr">
        <is>
          <t xml:space="preserve">    Màn hình nghiệp vụ</t>
        </is>
      </c>
      <c r="D53" s="18" t="inlineStr">
        <is>
          <t>Các trang chức năng</t>
        </is>
      </c>
      <c r="E53" s="19" t="inlineStr">
        <is>
          <t>FE</t>
        </is>
      </c>
      <c r="F53" s="20">
        <f>SUMIFS($F$5:$F$78,$A$5:$A$78,"5.2.*",$B$5:$B$78,3)</f>
        <v/>
      </c>
      <c r="G53" s="21" t="inlineStr"/>
    </row>
    <row r="54">
      <c r="A54" s="22" t="inlineStr">
        <is>
          <t>5.2.1</t>
        </is>
      </c>
      <c r="B54" s="23" t="n">
        <v>3</v>
      </c>
      <c r="C54" s="24" t="inlineStr">
        <is>
          <t xml:space="preserve">        Trang Tổng quan (dashboard)</t>
        </is>
      </c>
      <c r="D54" s="24" t="inlineStr">
        <is>
          <t>Trang Tổng quan</t>
        </is>
      </c>
      <c r="E54" s="23" t="inlineStr">
        <is>
          <t>FE</t>
        </is>
      </c>
      <c r="F54" s="25" t="n">
        <v>56</v>
      </c>
      <c r="G54" s="23">
        <f>IF(AND(F54&gt;=8,F54&lt;=80),"Đạt","Vi phạm 8/80")</f>
        <v/>
      </c>
    </row>
    <row r="55">
      <c r="A55" s="22" t="inlineStr">
        <is>
          <t>5.2.2</t>
        </is>
      </c>
      <c r="B55" s="23" t="n">
        <v>3</v>
      </c>
      <c r="C55" s="24" t="inlineStr">
        <is>
          <t xml:space="preserve">        Trang Kho thuốc và cảnh báo</t>
        </is>
      </c>
      <c r="D55" s="24" t="inlineStr">
        <is>
          <t>Trang Kho thuốc</t>
        </is>
      </c>
      <c r="E55" s="23" t="inlineStr">
        <is>
          <t>FE</t>
        </is>
      </c>
      <c r="F55" s="25" t="n">
        <v>48</v>
      </c>
      <c r="G55" s="23">
        <f>IF(AND(F55&gt;=8,F55&lt;=80),"Đạt","Vi phạm 8/80")</f>
        <v/>
      </c>
    </row>
    <row r="56">
      <c r="A56" s="22" t="inlineStr">
        <is>
          <t>5.2.3</t>
        </is>
      </c>
      <c r="B56" s="23" t="n">
        <v>3</v>
      </c>
      <c r="C56" s="24" t="inlineStr">
        <is>
          <t xml:space="preserve">        Trang Đơn hàng và Khách hàng</t>
        </is>
      </c>
      <c r="D56" s="24" t="inlineStr">
        <is>
          <t>2 trang</t>
        </is>
      </c>
      <c r="E56" s="23" t="inlineStr">
        <is>
          <t>FE</t>
        </is>
      </c>
      <c r="F56" s="25" t="n">
        <v>40</v>
      </c>
      <c r="G56" s="23">
        <f>IF(AND(F56&gt;=8,F56&lt;=80),"Đạt","Vi phạm 8/80")</f>
        <v/>
      </c>
    </row>
    <row r="57">
      <c r="A57" s="22" t="inlineStr">
        <is>
          <t>5.2.4</t>
        </is>
      </c>
      <c r="B57" s="23" t="n">
        <v>3</v>
      </c>
      <c r="C57" s="24" t="inlineStr">
        <is>
          <t xml:space="preserve">        Trang Nhập hàng và Nhà cung cấp</t>
        </is>
      </c>
      <c r="D57" s="24" t="inlineStr">
        <is>
          <t>Trang Nhập hàng</t>
        </is>
      </c>
      <c r="E57" s="23" t="inlineStr">
        <is>
          <t>FE</t>
        </is>
      </c>
      <c r="F57" s="25" t="n">
        <v>40</v>
      </c>
      <c r="G57" s="23">
        <f>IF(AND(F57&gt;=8,F57&lt;=80),"Đạt","Vi phạm 8/80")</f>
        <v/>
      </c>
    </row>
    <row r="58">
      <c r="A58" s="22" t="inlineStr">
        <is>
          <t>5.2.5</t>
        </is>
      </c>
      <c r="B58" s="23" t="n">
        <v>3</v>
      </c>
      <c r="C58" s="24" t="inlineStr">
        <is>
          <t xml:space="preserve">        Trang Nhân viên, Báo cáo, Cài đặt</t>
        </is>
      </c>
      <c r="D58" s="24" t="inlineStr">
        <is>
          <t>3 trang</t>
        </is>
      </c>
      <c r="E58" s="23" t="inlineStr">
        <is>
          <t>FE</t>
        </is>
      </c>
      <c r="F58" s="25" t="n">
        <v>40</v>
      </c>
      <c r="G58" s="23">
        <f>IF(AND(F58&gt;=8,F58&lt;=80),"Đạt","Vi phạm 8/80")</f>
        <v/>
      </c>
    </row>
    <row r="59">
      <c r="A59" s="15" t="inlineStr">
        <is>
          <t>5.3</t>
        </is>
      </c>
      <c r="B59" s="16" t="n">
        <v>2</v>
      </c>
      <c r="C59" s="17" t="inlineStr">
        <is>
          <t xml:space="preserve">    Hoàn thiện giao diện</t>
        </is>
      </c>
      <c r="D59" s="18" t="inlineStr">
        <is>
          <t>Giao diện đạt yêu cầu phi chức năng</t>
        </is>
      </c>
      <c r="E59" s="19" t="inlineStr">
        <is>
          <t>FE</t>
        </is>
      </c>
      <c r="F59" s="20">
        <f>SUMIFS($F$5:$F$78,$A$5:$A$78,"5.3.*",$B$5:$B$78,3)</f>
        <v/>
      </c>
      <c r="G59" s="21" t="inlineStr"/>
    </row>
    <row r="60">
      <c r="A60" s="22" t="inlineStr">
        <is>
          <t>5.3.1</t>
        </is>
      </c>
      <c r="B60" s="23" t="n">
        <v>3</v>
      </c>
      <c r="C60" s="24" t="inlineStr">
        <is>
          <t xml:space="preserve">        Responsive, dark mode, tối ưu hiệu năng</t>
        </is>
      </c>
      <c r="D60" s="24" t="inlineStr">
        <is>
          <t>Giao diện chạy tốt trên PC/tablet</t>
        </is>
      </c>
      <c r="E60" s="23" t="inlineStr">
        <is>
          <t>FE</t>
        </is>
      </c>
      <c r="F60" s="25" t="n">
        <v>24</v>
      </c>
      <c r="G60" s="23">
        <f>IF(AND(F60&gt;=8,F60&lt;=80),"Đạt","Vi phạm 8/80")</f>
        <v/>
      </c>
    </row>
    <row r="61">
      <c r="A61" s="8" t="inlineStr">
        <is>
          <t>6.0</t>
        </is>
      </c>
      <c r="B61" s="9" t="n">
        <v>1</v>
      </c>
      <c r="C61" s="10" t="inlineStr">
        <is>
          <t>Kiểm thử</t>
        </is>
      </c>
      <c r="D61" s="11" t="inlineStr">
        <is>
          <t>Sản phẩm đạt chất lượng</t>
        </is>
      </c>
      <c r="E61" s="12" t="inlineStr">
        <is>
          <t>QA</t>
        </is>
      </c>
      <c r="F61" s="13">
        <f>SUMIFS($F$5:$F$78,$A$5:$A$78,"6.*",$B$5:$B$78,3)</f>
        <v/>
      </c>
      <c r="G61" s="14" t="inlineStr"/>
    </row>
    <row r="62">
      <c r="A62" s="15" t="inlineStr">
        <is>
          <t>6.1</t>
        </is>
      </c>
      <c r="B62" s="16" t="n">
        <v>2</v>
      </c>
      <c r="C62" s="17" t="inlineStr">
        <is>
          <t xml:space="preserve">    Chuẩn bị kiểm thử</t>
        </is>
      </c>
      <c r="D62" s="18" t="inlineStr">
        <is>
          <t>Kế hoạch kiểm thử</t>
        </is>
      </c>
      <c r="E62" s="19" t="inlineStr">
        <is>
          <t>QA</t>
        </is>
      </c>
      <c r="F62" s="20">
        <f>SUMIFS($F$5:$F$78,$A$5:$A$78,"6.1.*",$B$5:$B$78,3)</f>
        <v/>
      </c>
      <c r="G62" s="21" t="inlineStr"/>
    </row>
    <row r="63">
      <c r="A63" s="22" t="inlineStr">
        <is>
          <t>6.1.1</t>
        </is>
      </c>
      <c r="B63" s="23" t="n">
        <v>3</v>
      </c>
      <c r="C63" s="24" t="inlineStr">
        <is>
          <t xml:space="preserve">        Kế hoạch kiểm thử và test case</t>
        </is>
      </c>
      <c r="D63" s="24" t="inlineStr">
        <is>
          <t>Test plan, bộ test case</t>
        </is>
      </c>
      <c r="E63" s="23" t="inlineStr">
        <is>
          <t>QA</t>
        </is>
      </c>
      <c r="F63" s="25" t="n">
        <v>32</v>
      </c>
      <c r="G63" s="23">
        <f>IF(AND(F63&gt;=8,F63&lt;=80),"Đạt","Vi phạm 8/80")</f>
        <v/>
      </c>
    </row>
    <row r="64">
      <c r="A64" s="15" t="inlineStr">
        <is>
          <t>6.2</t>
        </is>
      </c>
      <c r="B64" s="16" t="n">
        <v>2</v>
      </c>
      <c r="C64" s="17" t="inlineStr">
        <is>
          <t xml:space="preserve">    Thực thi kiểm thử</t>
        </is>
      </c>
      <c r="D64" s="18" t="inlineStr">
        <is>
          <t>Báo cáo kiểm thử</t>
        </is>
      </c>
      <c r="E64" s="19" t="inlineStr">
        <is>
          <t>QA</t>
        </is>
      </c>
      <c r="F64" s="20">
        <f>SUMIFS($F$5:$F$78,$A$5:$A$78,"6.2.*",$B$5:$B$78,3)</f>
        <v/>
      </c>
      <c r="G64" s="21" t="inlineStr"/>
    </row>
    <row r="65">
      <c r="A65" s="22" t="inlineStr">
        <is>
          <t>6.2.1</t>
        </is>
      </c>
      <c r="B65" s="23" t="n">
        <v>3</v>
      </c>
      <c r="C65" s="24" t="inlineStr">
        <is>
          <t xml:space="preserve">        Kiểm thử chức năng</t>
        </is>
      </c>
      <c r="D65" s="24" t="inlineStr">
        <is>
          <t>Kết quả chạy test case, báo cáo lỗi</t>
        </is>
      </c>
      <c r="E65" s="23" t="inlineStr">
        <is>
          <t>QA</t>
        </is>
      </c>
      <c r="F65" s="25" t="n">
        <v>64</v>
      </c>
      <c r="G65" s="23">
        <f>IF(AND(F65&gt;=8,F65&lt;=80),"Đạt","Vi phạm 8/80")</f>
        <v/>
      </c>
    </row>
    <row r="66">
      <c r="A66" s="22" t="inlineStr">
        <is>
          <t>6.2.2</t>
        </is>
      </c>
      <c r="B66" s="23" t="n">
        <v>3</v>
      </c>
      <c r="C66" s="24" t="inlineStr">
        <is>
          <t xml:space="preserve">        Kiểm thử phân quyền và bảo mật</t>
        </is>
      </c>
      <c r="D66" s="24" t="inlineStr">
        <is>
          <t>Báo cáo kiểm thử bảo mật</t>
        </is>
      </c>
      <c r="E66" s="23" t="inlineStr">
        <is>
          <t>QA</t>
        </is>
      </c>
      <c r="F66" s="25" t="n">
        <v>24</v>
      </c>
      <c r="G66" s="23">
        <f>IF(AND(F66&gt;=8,F66&lt;=80),"Đạt","Vi phạm 8/80")</f>
        <v/>
      </c>
    </row>
    <row r="67">
      <c r="A67" s="22" t="inlineStr">
        <is>
          <t>6.2.3</t>
        </is>
      </c>
      <c r="B67" s="23" t="n">
        <v>3</v>
      </c>
      <c r="C67" s="24" t="inlineStr">
        <is>
          <t xml:space="preserve">        Kiểm thử hiệu năng</t>
        </is>
      </c>
      <c r="D67" s="24" t="inlineStr">
        <is>
          <t>Báo cáo hiệu năng</t>
        </is>
      </c>
      <c r="E67" s="23" t="inlineStr">
        <is>
          <t>QA</t>
        </is>
      </c>
      <c r="F67" s="25" t="n">
        <v>16</v>
      </c>
      <c r="G67" s="23">
        <f>IF(AND(F67&gt;=8,F67&lt;=80),"Đạt","Vi phạm 8/80")</f>
        <v/>
      </c>
    </row>
    <row r="68">
      <c r="A68" s="22" t="inlineStr">
        <is>
          <t>6.2.4</t>
        </is>
      </c>
      <c r="B68" s="23" t="n">
        <v>3</v>
      </c>
      <c r="C68" s="24" t="inlineStr">
        <is>
          <t xml:space="preserve">        Sửa lỗi và kiểm thử hồi quy</t>
        </is>
      </c>
      <c r="D68" s="24" t="inlineStr">
        <is>
          <t>Bản build ổn định</t>
        </is>
      </c>
      <c r="E68" s="23" t="inlineStr">
        <is>
          <t>FE</t>
        </is>
      </c>
      <c r="F68" s="25" t="n">
        <v>60</v>
      </c>
      <c r="G68" s="23">
        <f>IF(AND(F68&gt;=8,F68&lt;=80),"Đạt","Vi phạm 8/80")</f>
        <v/>
      </c>
    </row>
    <row r="69">
      <c r="A69" s="15" t="inlineStr">
        <is>
          <t>6.3</t>
        </is>
      </c>
      <c r="B69" s="16" t="n">
        <v>2</v>
      </c>
      <c r="C69" s="17" t="inlineStr">
        <is>
          <t xml:space="preserve">    Nghiệm thu</t>
        </is>
      </c>
      <c r="D69" s="18" t="inlineStr">
        <is>
          <t>Biên bản UAT</t>
        </is>
      </c>
      <c r="E69" s="19" t="inlineStr">
        <is>
          <t>QA</t>
        </is>
      </c>
      <c r="F69" s="20">
        <f>SUMIFS($F$5:$F$78,$A$5:$A$78,"6.3.*",$B$5:$B$78,3)</f>
        <v/>
      </c>
      <c r="G69" s="21" t="inlineStr"/>
    </row>
    <row r="70">
      <c r="A70" s="22" t="inlineStr">
        <is>
          <t>6.3.1</t>
        </is>
      </c>
      <c r="B70" s="23" t="n">
        <v>3</v>
      </c>
      <c r="C70" s="24" t="inlineStr">
        <is>
          <t xml:space="preserve">        Kiểm thử chấp nhận (UAT) với khách hàng</t>
        </is>
      </c>
      <c r="D70" s="24" t="inlineStr">
        <is>
          <t>Biên bản UAT đã ký</t>
        </is>
      </c>
      <c r="E70" s="23" t="inlineStr">
        <is>
          <t>QA</t>
        </is>
      </c>
      <c r="F70" s="25" t="n">
        <v>24</v>
      </c>
      <c r="G70" s="23">
        <f>IF(AND(F70&gt;=8,F70&lt;=80),"Đạt","Vi phạm 8/80")</f>
        <v/>
      </c>
    </row>
    <row r="71">
      <c r="A71" s="8" t="inlineStr">
        <is>
          <t>7.0</t>
        </is>
      </c>
      <c r="B71" s="9" t="n">
        <v>1</v>
      </c>
      <c r="C71" s="10" t="inlineStr">
        <is>
          <t>Triển khai và chuyển giao</t>
        </is>
      </c>
      <c r="D71" s="11" t="inlineStr">
        <is>
          <t>Hệ thống vận hành chính thức</t>
        </is>
      </c>
      <c r="E71" s="12" t="inlineStr">
        <is>
          <t>BE</t>
        </is>
      </c>
      <c r="F71" s="13">
        <f>SUMIFS($F$5:$F$78,$A$5:$A$78,"7.*",$B$5:$B$78,3)</f>
        <v/>
      </c>
      <c r="G71" s="14" t="inlineStr"/>
    </row>
    <row r="72">
      <c r="A72" s="15" t="inlineStr">
        <is>
          <t>7.1</t>
        </is>
      </c>
      <c r="B72" s="16" t="n">
        <v>2</v>
      </c>
      <c r="C72" s="17" t="inlineStr">
        <is>
          <t xml:space="preserve">    Triển khai</t>
        </is>
      </c>
      <c r="D72" s="18" t="inlineStr">
        <is>
          <t>Hệ thống trên máy chủ thật</t>
        </is>
      </c>
      <c r="E72" s="19" t="inlineStr">
        <is>
          <t>BE</t>
        </is>
      </c>
      <c r="F72" s="20">
        <f>SUMIFS($F$5:$F$78,$A$5:$A$78,"7.1.*",$B$5:$B$78,3)</f>
        <v/>
      </c>
      <c r="G72" s="21" t="inlineStr"/>
    </row>
    <row r="73">
      <c r="A73" s="22" t="inlineStr">
        <is>
          <t>7.1.1</t>
        </is>
      </c>
      <c r="B73" s="23" t="n">
        <v>3</v>
      </c>
      <c r="C73" s="24" t="inlineStr">
        <is>
          <t xml:space="preserve">        Chuẩn bị hạ tầng, sao lưu, bảo mật</t>
        </is>
      </c>
      <c r="D73" s="24" t="inlineStr">
        <is>
          <t>Máy chủ, HTTPS, lịch sao lưu</t>
        </is>
      </c>
      <c r="E73" s="23" t="inlineStr">
        <is>
          <t>BE</t>
        </is>
      </c>
      <c r="F73" s="25" t="n">
        <v>16</v>
      </c>
      <c r="G73" s="23">
        <f>IF(AND(F73&gt;=8,F73&lt;=80),"Đạt","Vi phạm 8/80")</f>
        <v/>
      </c>
    </row>
    <row r="74">
      <c r="A74" s="22" t="inlineStr">
        <is>
          <t>7.1.2</t>
        </is>
      </c>
      <c r="B74" s="23" t="n">
        <v>3</v>
      </c>
      <c r="C74" s="24" t="inlineStr">
        <is>
          <t xml:space="preserve">        Go-live và chuyển dữ liệu chính thức</t>
        </is>
      </c>
      <c r="D74" s="24" t="inlineStr">
        <is>
          <t>Hệ thống chạy thật</t>
        </is>
      </c>
      <c r="E74" s="23" t="inlineStr">
        <is>
          <t>BE</t>
        </is>
      </c>
      <c r="F74" s="25" t="n">
        <v>16</v>
      </c>
      <c r="G74" s="23">
        <f>IF(AND(F74&gt;=8,F74&lt;=80),"Đạt","Vi phạm 8/80")</f>
        <v/>
      </c>
    </row>
    <row r="75">
      <c r="A75" s="15" t="inlineStr">
        <is>
          <t>7.2</t>
        </is>
      </c>
      <c r="B75" s="16" t="n">
        <v>2</v>
      </c>
      <c r="C75" s="17" t="inlineStr">
        <is>
          <t xml:space="preserve">    Đào tạo và hỗ trợ</t>
        </is>
      </c>
      <c r="D75" s="18" t="inlineStr">
        <is>
          <t>Người dùng sử dụng được</t>
        </is>
      </c>
      <c r="E75" s="19" t="inlineStr">
        <is>
          <t>BA</t>
        </is>
      </c>
      <c r="F75" s="20">
        <f>SUMIFS($F$5:$F$78,$A$5:$A$78,"7.2.*",$B$5:$B$78,3)</f>
        <v/>
      </c>
      <c r="G75" s="21" t="inlineStr"/>
    </row>
    <row r="76">
      <c r="A76" s="22" t="inlineStr">
        <is>
          <t>7.2.1</t>
        </is>
      </c>
      <c r="B76" s="23" t="n">
        <v>3</v>
      </c>
      <c r="C76" s="24" t="inlineStr">
        <is>
          <t xml:space="preserve">        Tài liệu hướng dẫn sử dụng</t>
        </is>
      </c>
      <c r="D76" s="24" t="inlineStr">
        <is>
          <t>Hướng dẫn sử dụng theo vai trò</t>
        </is>
      </c>
      <c r="E76" s="23" t="inlineStr">
        <is>
          <t>BA</t>
        </is>
      </c>
      <c r="F76" s="25" t="n">
        <v>24</v>
      </c>
      <c r="G76" s="23">
        <f>IF(AND(F76&gt;=8,F76&lt;=80),"Đạt","Vi phạm 8/80")</f>
        <v/>
      </c>
    </row>
    <row r="77">
      <c r="A77" s="22" t="inlineStr">
        <is>
          <t>7.2.2</t>
        </is>
      </c>
      <c r="B77" s="23" t="n">
        <v>3</v>
      </c>
      <c r="C77" s="24" t="inlineStr">
        <is>
          <t xml:space="preserve">        Đào tạo người dùng tại 2 chi nhánh</t>
        </is>
      </c>
      <c r="D77" s="24" t="inlineStr">
        <is>
          <t>2 buổi đào tạo, danh sách tham dự</t>
        </is>
      </c>
      <c r="E77" s="23" t="inlineStr">
        <is>
          <t>BA</t>
        </is>
      </c>
      <c r="F77" s="25" t="n">
        <v>16</v>
      </c>
      <c r="G77" s="23">
        <f>IF(AND(F77&gt;=8,F77&lt;=80),"Đạt","Vi phạm 8/80")</f>
        <v/>
      </c>
    </row>
    <row r="78">
      <c r="A78" s="22" t="inlineStr">
        <is>
          <t>7.2.3</t>
        </is>
      </c>
      <c r="B78" s="23" t="n">
        <v>3</v>
      </c>
      <c r="C78" s="24" t="inlineStr">
        <is>
          <t xml:space="preserve">        Hỗ trợ sau go-live (2 tuần)</t>
        </is>
      </c>
      <c r="D78" s="24" t="inlineStr">
        <is>
          <t>Nhật ký hỗ trợ</t>
        </is>
      </c>
      <c r="E78" s="23" t="inlineStr">
        <is>
          <t>BE</t>
        </is>
      </c>
      <c r="F78" s="25" t="n">
        <v>32</v>
      </c>
      <c r="G78" s="23">
        <f>IF(AND(F78&gt;=8,F78&lt;=80),"Đạt","Vi phạm 8/80")</f>
        <v/>
      </c>
    </row>
    <row r="80">
      <c r="C80" s="26" t="inlineStr">
        <is>
          <t>Tổng giờ công các gói công việc (cấp 3)</t>
        </is>
      </c>
      <c r="F80" s="27">
        <f>SUMIFS($F$5:$F$78,$B$5:$B$78,3)</f>
        <v/>
      </c>
    </row>
    <row r="81">
      <c r="C81" s="26" t="inlineStr">
        <is>
          <t>Tổng giờ công các hạng mục cấp 1 (phải bằng dòng trên – quy tắc 100%)</t>
        </is>
      </c>
      <c r="F81" s="27">
        <f>SUMIFS($F$5:$F$78,$B$5:$B$78,1)</f>
        <v/>
      </c>
      <c r="G81" s="28">
        <f>IF(F81=F80,"Khớp","Lệch")</f>
        <v/>
      </c>
    </row>
    <row r="82">
      <c r="C82" s="26" t="inlineStr">
        <is>
          <t>Số gói công việc vi phạm quy tắc 8/80</t>
        </is>
      </c>
      <c r="F82" s="29">
        <f>COUNTIF($G$5:$G$78,"Vi phạm 8/80")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18" customWidth="1" min="3" max="3"/>
    <col width="18" customWidth="1" min="4" max="4"/>
    <col width="20" customWidth="1" min="5" max="5"/>
  </cols>
  <sheetData>
    <row r="1">
      <c r="A1" s="1" t="inlineStr">
        <is>
          <t>ƯỚC LƯỢNG CHI PHÍ DỰ ÁN (VND)</t>
        </is>
      </c>
    </row>
    <row r="2">
      <c r="A2" s="2" t="inlineStr">
        <is>
          <t>Đơn giá là giả định của nhóm (chi phí công ty gồm lương + bảo hiểm, tính theo giờ), không phải báo giá thật.</t>
        </is>
      </c>
    </row>
    <row r="4">
      <c r="A4" s="7" t="inlineStr">
        <is>
          <t>Vai trò</t>
        </is>
      </c>
      <c r="B4" s="7" t="inlineStr">
        <is>
          <t>Diễn giải</t>
        </is>
      </c>
      <c r="C4" s="7" t="inlineStr">
        <is>
          <t>Đơn giá (VND/giờ)</t>
        </is>
      </c>
      <c r="D4" s="7" t="inlineStr">
        <is>
          <t>Giờ công (từ WBS)</t>
        </is>
      </c>
      <c r="E4" s="7" t="inlineStr">
        <is>
          <t>Thành tiền (VND)</t>
        </is>
      </c>
    </row>
    <row r="5">
      <c r="A5" s="26" t="inlineStr">
        <is>
          <t>PM</t>
        </is>
      </c>
      <c r="B5" s="22" t="inlineStr">
        <is>
          <t>Quản lý dự án</t>
        </is>
      </c>
      <c r="C5" s="30" t="n">
        <v>180000</v>
      </c>
      <c r="D5" s="31">
        <f>SUMIFS(WBS!$F$5:$F$78,WBS!$E$5:$E$78,A5,WBS!$B$5:$B$78,3)</f>
        <v/>
      </c>
      <c r="E5" s="32">
        <f>C5*D5</f>
        <v/>
      </c>
    </row>
    <row r="6">
      <c r="A6" s="26" t="inlineStr">
        <is>
          <t>BA</t>
        </is>
      </c>
      <c r="B6" s="22" t="inlineStr">
        <is>
          <t>Phân tích nghiệp vụ</t>
        </is>
      </c>
      <c r="C6" s="30" t="n">
        <v>150000</v>
      </c>
      <c r="D6" s="31">
        <f>SUMIFS(WBS!$F$5:$F$78,WBS!$E$5:$E$78,A6,WBS!$B$5:$B$78,3)</f>
        <v/>
      </c>
      <c r="E6" s="32">
        <f>C6*D6</f>
        <v/>
      </c>
    </row>
    <row r="7">
      <c r="A7" s="26" t="inlineStr">
        <is>
          <t>BE</t>
        </is>
      </c>
      <c r="B7" s="22" t="inlineStr">
        <is>
          <t>Lập trình viên backend</t>
        </is>
      </c>
      <c r="C7" s="30" t="n">
        <v>160000</v>
      </c>
      <c r="D7" s="31">
        <f>SUMIFS(WBS!$F$5:$F$78,WBS!$E$5:$E$78,A7,WBS!$B$5:$B$78,3)</f>
        <v/>
      </c>
      <c r="E7" s="32">
        <f>C7*D7</f>
        <v/>
      </c>
    </row>
    <row r="8">
      <c r="A8" s="26" t="inlineStr">
        <is>
          <t>FE</t>
        </is>
      </c>
      <c r="B8" s="22" t="inlineStr">
        <is>
          <t>Lập trình viên frontend (kiêm thiết kế UI)</t>
        </is>
      </c>
      <c r="C8" s="30" t="n">
        <v>150000</v>
      </c>
      <c r="D8" s="31">
        <f>SUMIFS(WBS!$F$5:$F$78,WBS!$E$5:$E$78,A8,WBS!$B$5:$B$78,3)</f>
        <v/>
      </c>
      <c r="E8" s="32">
        <f>C8*D8</f>
        <v/>
      </c>
    </row>
    <row r="9">
      <c r="A9" s="26" t="inlineStr">
        <is>
          <t>QA</t>
        </is>
      </c>
      <c r="B9" s="22" t="inlineStr">
        <is>
          <t>Kiểm thử viên</t>
        </is>
      </c>
      <c r="C9" s="30" t="n">
        <v>120000</v>
      </c>
      <c r="D9" s="31">
        <f>SUMIFS(WBS!$F$5:$F$78,WBS!$E$5:$E$78,A9,WBS!$B$5:$B$78,3)</f>
        <v/>
      </c>
      <c r="E9" s="32">
        <f>C9*D9</f>
        <v/>
      </c>
    </row>
    <row r="10">
      <c r="A10" s="26" t="inlineStr">
        <is>
          <t>Cộng nhân công</t>
        </is>
      </c>
      <c r="D10" s="27">
        <f>SUM(D5:D9)</f>
        <v/>
      </c>
      <c r="E10" s="33">
        <f>SUM(E5:E9)</f>
        <v/>
      </c>
    </row>
    <row r="11">
      <c r="B11" s="22" t="inlineStr">
        <is>
          <t>Kiểm tra: giờ công khớp tổng WBS?</t>
        </is>
      </c>
      <c r="D11" s="23">
        <f>IF(D10=WBS!$F$80,"Khớp","Lệch")</f>
        <v/>
      </c>
    </row>
    <row r="13">
      <c r="A13" s="7" t="inlineStr">
        <is>
          <t>Chi phí khác</t>
        </is>
      </c>
      <c r="B13" s="7" t="inlineStr">
        <is>
          <t>Diễn giải</t>
        </is>
      </c>
      <c r="C13" s="7" t="inlineStr">
        <is>
          <t>Số lượng</t>
        </is>
      </c>
      <c r="D13" s="7" t="inlineStr">
        <is>
          <t>Đơn giá (VND)</t>
        </is>
      </c>
      <c r="E13" s="7" t="inlineStr">
        <is>
          <t>Thành tiền (VND)</t>
        </is>
      </c>
    </row>
    <row r="14">
      <c r="A14" s="26" t="inlineStr">
        <is>
          <t>Hosting</t>
        </is>
      </c>
      <c r="B14" s="24" t="inlineStr">
        <is>
          <t>Máy chủ ảo (VPS) năm đầu, 12 tháng</t>
        </is>
      </c>
      <c r="C14" s="25" t="n">
        <v>12</v>
      </c>
      <c r="D14" s="30" t="n">
        <v>500000</v>
      </c>
      <c r="E14" s="32">
        <f>C14*D14</f>
        <v/>
      </c>
    </row>
    <row r="15">
      <c r="A15" s="26" t="inlineStr">
        <is>
          <t>Tên miền + SSL</t>
        </is>
      </c>
      <c r="B15" s="24" t="inlineStr">
        <is>
          <t>Tên miền .vn và chứng chỉ SSL 1 năm</t>
        </is>
      </c>
      <c r="C15" s="25" t="n">
        <v>1</v>
      </c>
      <c r="D15" s="30" t="n">
        <v>1000000</v>
      </c>
      <c r="E15" s="32">
        <f>C15*D15</f>
        <v/>
      </c>
    </row>
    <row r="16">
      <c r="A16" s="26" t="inlineStr">
        <is>
          <t>Đào tạo</t>
        </is>
      </c>
      <c r="B16" s="24" t="inlineStr">
        <is>
          <t>In tài liệu, đi lại cho 2 buổi đào tạo</t>
        </is>
      </c>
      <c r="C16" s="25" t="n">
        <v>2</v>
      </c>
      <c r="D16" s="30" t="n">
        <v>1500000</v>
      </c>
      <c r="E16" s="32">
        <f>C16*D16</f>
        <v/>
      </c>
    </row>
    <row r="17">
      <c r="A17" s="26" t="inlineStr">
        <is>
          <t>Cộng chi phí khác</t>
        </is>
      </c>
      <c r="E17" s="33">
        <f>SUM(E14:E16)</f>
        <v/>
      </c>
    </row>
    <row r="19">
      <c r="A19" s="26" t="inlineStr">
        <is>
          <t>Chi phí trực tiếp</t>
        </is>
      </c>
      <c r="E19" s="33">
        <f>E10+E17</f>
        <v/>
      </c>
    </row>
    <row r="20">
      <c r="A20" s="26" t="inlineStr">
        <is>
          <t>Tỷ lệ dự phòng</t>
        </is>
      </c>
      <c r="B20" s="22" t="inlineStr">
        <is>
          <t>Dự phòng rủi ro (contingency reserve)</t>
        </is>
      </c>
      <c r="C20" s="34" t="n">
        <v>0.1</v>
      </c>
      <c r="E20" s="32">
        <f>E19*C20</f>
        <v/>
      </c>
    </row>
    <row r="21">
      <c r="A21" s="26" t="inlineStr">
        <is>
          <t>TỔNG DỰ TOÁN</t>
        </is>
      </c>
      <c r="E21" s="33">
        <f>E19+E20</f>
        <v/>
      </c>
    </row>
    <row r="22">
      <c r="A22" s="26" t="inlineStr">
        <is>
          <t>Ngân sách được duyệt</t>
        </is>
      </c>
      <c r="B22" s="22" t="inlineStr">
        <is>
          <t>Theo tài liệu yêu cầu khách hàng</t>
        </is>
      </c>
      <c r="E22" s="30" t="n">
        <v>250000000</v>
      </c>
    </row>
    <row r="23">
      <c r="A23" s="26" t="inlineStr">
        <is>
          <t>Còn lại</t>
        </is>
      </c>
      <c r="E23" s="33">
        <f>E22-E21</f>
        <v/>
      </c>
    </row>
    <row r="24">
      <c r="A24" s="26" t="inlineStr">
        <is>
          <t>Tỷ lệ sử dụng</t>
        </is>
      </c>
      <c r="E24" s="35">
        <f>E21/E22</f>
        <v/>
      </c>
    </row>
    <row r="25">
      <c r="A25" s="26" t="inlineStr">
        <is>
          <t>Kết luận</t>
        </is>
      </c>
      <c r="E25" s="28">
        <f>IF(E21&lt;=E22,"Trong ngân sách","VƯỢT NGÂN SÁCH")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35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1" customWidth="1" min="4" max="4"/>
    <col width="6" customWidth="1" min="5" max="5"/>
    <col width="6" customWidth="1" min="6" max="6"/>
    <col width="6" customWidth="1" min="7" max="7"/>
    <col width="11" customWidth="1" min="8" max="8"/>
    <col width="9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12" customWidth="1" min="17" max="17"/>
    <col width="12" customWidth="1" min="18" max="18"/>
    <col width="14" customWidth="1" min="19" max="19"/>
    <col width="14" customWidth="1" min="20" max="20"/>
  </cols>
  <sheetData>
    <row r="1">
      <c r="A1" s="1" t="inlineStr">
        <is>
          <t>ƯỚC LƯỢNG PERT 3 ĐIỂM &amp; ĐƯỜNG GĂNG (CPM) – đơn vị: ngày làm việc</t>
        </is>
      </c>
    </row>
    <row r="3">
      <c r="A3" s="26" t="inlineStr">
        <is>
          <t>Ngày khởi động</t>
        </is>
      </c>
      <c r="C3" s="36" t="n">
        <v>46300</v>
      </c>
      <c r="D3" s="2" t="inlineStr">
        <is>
          <t>Ngày làm việc thứ 1 = ngày khởi động. Chưa trừ ngày nghỉ lễ (giai đoạn 10–12/2026 không có ngày lễ).</t>
        </is>
      </c>
    </row>
    <row r="4">
      <c r="A4" s="26" t="inlineStr">
        <is>
          <t>Hạn chót go-live</t>
        </is>
      </c>
      <c r="C4" s="36" t="n">
        <v>46387</v>
      </c>
    </row>
    <row r="5">
      <c r="A5" s="26" t="inlineStr">
        <is>
          <t>Số ngày làm việc tới hạn</t>
        </is>
      </c>
      <c r="C5" s="29">
        <f>NETWORKDAYS(C3,C4)</f>
        <v/>
      </c>
    </row>
    <row r="8" ht="42" customHeight="1">
      <c r="A8" s="7" t="inlineStr">
        <is>
          <t>Mã</t>
        </is>
      </c>
      <c r="B8" s="7" t="inlineStr">
        <is>
          <t>Hoạt động</t>
        </is>
      </c>
      <c r="C8" s="7" t="inlineStr">
        <is>
          <t>WBS liên quan</t>
        </is>
      </c>
      <c r="D8" s="7" t="inlineStr">
        <is>
          <t>Hoạt động trước</t>
        </is>
      </c>
      <c r="E8" s="7" t="inlineStr">
        <is>
          <t>O</t>
        </is>
      </c>
      <c r="F8" s="7" t="inlineStr">
        <is>
          <t>M</t>
        </is>
      </c>
      <c r="G8" s="7" t="inlineStr">
        <is>
          <t>P</t>
        </is>
      </c>
      <c r="H8" s="7" t="inlineStr">
        <is>
          <t>TE = (O+4M+P)/6</t>
        </is>
      </c>
      <c r="I8" s="7" t="inlineStr">
        <is>
          <t>σ = (P−O)/6</t>
        </is>
      </c>
      <c r="J8" s="7" t="inlineStr">
        <is>
          <t>σ²</t>
        </is>
      </c>
      <c r="K8" s="7" t="inlineStr">
        <is>
          <t>ES</t>
        </is>
      </c>
      <c r="L8" s="7" t="inlineStr">
        <is>
          <t>EF</t>
        </is>
      </c>
      <c r="M8" s="7" t="inlineStr">
        <is>
          <t>LS</t>
        </is>
      </c>
      <c r="N8" s="7" t="inlineStr">
        <is>
          <t>LF</t>
        </is>
      </c>
      <c r="O8" s="7" t="inlineStr">
        <is>
          <t>Slack</t>
        </is>
      </c>
      <c r="P8" s="7" t="inlineStr">
        <is>
          <t>Găng?</t>
        </is>
      </c>
      <c r="Q8" s="7" t="inlineStr">
        <is>
          <t>Ngày bắt đầu</t>
        </is>
      </c>
      <c r="R8" s="7" t="inlineStr">
        <is>
          <t>Ngày kết thúc</t>
        </is>
      </c>
      <c r="S8" s="7" t="inlineStr">
        <is>
          <t>TE theo AI (nhóm nhập)</t>
        </is>
      </c>
      <c r="T8" s="7" t="inlineStr">
        <is>
          <t>Chênh lệch Excel − AI</t>
        </is>
      </c>
    </row>
    <row r="9">
      <c r="A9" s="28" t="inlineStr">
        <is>
          <t>A</t>
        </is>
      </c>
      <c r="B9" s="24" t="inlineStr">
        <is>
          <t>Khởi động và lập kế hoạch (Charter, WBS, lịch)</t>
        </is>
      </c>
      <c r="C9" s="23" t="inlineStr">
        <is>
          <t>1.1, 1.2</t>
        </is>
      </c>
      <c r="D9" s="23" t="inlineStr">
        <is>
          <t>—</t>
        </is>
      </c>
      <c r="E9" s="37" t="n">
        <v>3</v>
      </c>
      <c r="F9" s="37" t="n">
        <v>5</v>
      </c>
      <c r="G9" s="37" t="n">
        <v>8</v>
      </c>
      <c r="H9" s="38">
        <f>(E9+4*F9+G9)/6</f>
        <v/>
      </c>
      <c r="I9" s="38">
        <f>(G9-E9)/6</f>
        <v/>
      </c>
      <c r="J9" s="38">
        <f>I9^2</f>
        <v/>
      </c>
      <c r="K9" s="38">
        <f>0</f>
        <v/>
      </c>
      <c r="L9" s="38">
        <f>K9+H9</f>
        <v/>
      </c>
      <c r="M9" s="38">
        <f>N9-H9</f>
        <v/>
      </c>
      <c r="N9" s="38">
        <f>MIN(M10)</f>
        <v/>
      </c>
      <c r="O9" s="38">
        <f>M9-K9</f>
        <v/>
      </c>
      <c r="P9" s="28">
        <f>IF(ABS(O9)&lt;0.005,"Găng","")</f>
        <v/>
      </c>
      <c r="Q9" s="39">
        <f>WORKDAY($C$3,INT(K9))</f>
        <v/>
      </c>
      <c r="R9" s="39">
        <f>WORKDAY($C$3,ROUNDUP(L9,0)-1)</f>
        <v/>
      </c>
      <c r="S9" s="40" t="n"/>
      <c r="T9" s="38">
        <f>IF(S9="","",H9-S9)</f>
        <v/>
      </c>
    </row>
    <row r="10">
      <c r="A10" s="28" t="inlineStr">
        <is>
          <t>B</t>
        </is>
      </c>
      <c r="B10" s="24" t="inlineStr">
        <is>
          <t>Khảo sát nghiệp vụ và dữ liệu hiện có</t>
        </is>
      </c>
      <c r="C10" s="23" t="inlineStr">
        <is>
          <t>2.1</t>
        </is>
      </c>
      <c r="D10" s="23" t="inlineStr">
        <is>
          <t>A</t>
        </is>
      </c>
      <c r="E10" s="37" t="n">
        <v>4</v>
      </c>
      <c r="F10" s="37" t="n">
        <v>6</v>
      </c>
      <c r="G10" s="37" t="n">
        <v>10</v>
      </c>
      <c r="H10" s="38">
        <f>(E10+4*F10+G10)/6</f>
        <v/>
      </c>
      <c r="I10" s="38">
        <f>(G10-E10)/6</f>
        <v/>
      </c>
      <c r="J10" s="38">
        <f>I10^2</f>
        <v/>
      </c>
      <c r="K10" s="38">
        <f>MAX(L9)</f>
        <v/>
      </c>
      <c r="L10" s="38">
        <f>K10+H10</f>
        <v/>
      </c>
      <c r="M10" s="38">
        <f>N10-H10</f>
        <v/>
      </c>
      <c r="N10" s="38">
        <f>MIN(M11)</f>
        <v/>
      </c>
      <c r="O10" s="38">
        <f>M10-K10</f>
        <v/>
      </c>
      <c r="P10" s="28">
        <f>IF(ABS(O10)&lt;0.005,"Găng","")</f>
        <v/>
      </c>
      <c r="Q10" s="39">
        <f>WORKDAY($C$3,INT(K10))</f>
        <v/>
      </c>
      <c r="R10" s="39">
        <f>WORKDAY($C$3,ROUNDUP(L10,0)-1)</f>
        <v/>
      </c>
      <c r="S10" s="40" t="n"/>
      <c r="T10" s="38">
        <f>IF(S10="","",H10-S10)</f>
        <v/>
      </c>
    </row>
    <row r="11">
      <c r="A11" s="28" t="inlineStr">
        <is>
          <t>C</t>
        </is>
      </c>
      <c r="B11" s="24" t="inlineStr">
        <is>
          <t>Đặc tả yêu cầu (SRS) và phê duyệt</t>
        </is>
      </c>
      <c r="C11" s="23" t="inlineStr">
        <is>
          <t>2.2</t>
        </is>
      </c>
      <c r="D11" s="23" t="inlineStr">
        <is>
          <t>B</t>
        </is>
      </c>
      <c r="E11" s="37" t="n">
        <v>4</v>
      </c>
      <c r="F11" s="37" t="n">
        <v>6</v>
      </c>
      <c r="G11" s="37" t="n">
        <v>9</v>
      </c>
      <c r="H11" s="38">
        <f>(E11+4*F11+G11)/6</f>
        <v/>
      </c>
      <c r="I11" s="38">
        <f>(G11-E11)/6</f>
        <v/>
      </c>
      <c r="J11" s="38">
        <f>I11^2</f>
        <v/>
      </c>
      <c r="K11" s="38">
        <f>MAX(L10)</f>
        <v/>
      </c>
      <c r="L11" s="38">
        <f>K11+H11</f>
        <v/>
      </c>
      <c r="M11" s="38">
        <f>N11-H11</f>
        <v/>
      </c>
      <c r="N11" s="38">
        <f>MIN(M12,M13,M20)</f>
        <v/>
      </c>
      <c r="O11" s="38">
        <f>M11-K11</f>
        <v/>
      </c>
      <c r="P11" s="28">
        <f>IF(ABS(O11)&lt;0.005,"Găng","")</f>
        <v/>
      </c>
      <c r="Q11" s="39">
        <f>WORKDAY($C$3,INT(K11))</f>
        <v/>
      </c>
      <c r="R11" s="39">
        <f>WORKDAY($C$3,ROUNDUP(L11,0)-1)</f>
        <v/>
      </c>
      <c r="S11" s="40" t="n"/>
      <c r="T11" s="38">
        <f>IF(S11="","",H11-S11)</f>
        <v/>
      </c>
    </row>
    <row r="12">
      <c r="A12" s="28" t="inlineStr">
        <is>
          <t>D</t>
        </is>
      </c>
      <c r="B12" s="24" t="inlineStr">
        <is>
          <t>Thiết kế kiến trúc, CSDL, API</t>
        </is>
      </c>
      <c r="C12" s="23" t="inlineStr">
        <is>
          <t>3.1</t>
        </is>
      </c>
      <c r="D12" s="23" t="inlineStr">
        <is>
          <t>C</t>
        </is>
      </c>
      <c r="E12" s="37" t="n">
        <v>4</v>
      </c>
      <c r="F12" s="37" t="n">
        <v>6</v>
      </c>
      <c r="G12" s="37" t="n">
        <v>10</v>
      </c>
      <c r="H12" s="38">
        <f>(E12+4*F12+G12)/6</f>
        <v/>
      </c>
      <c r="I12" s="38">
        <f>(G12-E12)/6</f>
        <v/>
      </c>
      <c r="J12" s="38">
        <f>I12^2</f>
        <v/>
      </c>
      <c r="K12" s="38">
        <f>MAX(L11)</f>
        <v/>
      </c>
      <c r="L12" s="38">
        <f>K12+H12</f>
        <v/>
      </c>
      <c r="M12" s="38">
        <f>N12-H12</f>
        <v/>
      </c>
      <c r="N12" s="38">
        <f>MIN(M14)</f>
        <v/>
      </c>
      <c r="O12" s="38">
        <f>M12-K12</f>
        <v/>
      </c>
      <c r="P12" s="28">
        <f>IF(ABS(O12)&lt;0.005,"Găng","")</f>
        <v/>
      </c>
      <c r="Q12" s="39">
        <f>WORKDAY($C$3,INT(K12))</f>
        <v/>
      </c>
      <c r="R12" s="39">
        <f>WORKDAY($C$3,ROUNDUP(L12,0)-1)</f>
        <v/>
      </c>
      <c r="S12" s="40" t="n"/>
      <c r="T12" s="38">
        <f>IF(S12="","",H12-S12)</f>
        <v/>
      </c>
    </row>
    <row r="13">
      <c r="A13" s="28" t="inlineStr">
        <is>
          <t>E</t>
        </is>
      </c>
      <c r="B13" s="24" t="inlineStr">
        <is>
          <t>Thiết kế giao diện (wireframe, mockup)</t>
        </is>
      </c>
      <c r="C13" s="23" t="inlineStr">
        <is>
          <t>3.2</t>
        </is>
      </c>
      <c r="D13" s="23" t="inlineStr">
        <is>
          <t>C</t>
        </is>
      </c>
      <c r="E13" s="37" t="n">
        <v>5</v>
      </c>
      <c r="F13" s="37" t="n">
        <v>8</v>
      </c>
      <c r="G13" s="37" t="n">
        <v>12</v>
      </c>
      <c r="H13" s="38">
        <f>(E13+4*F13+G13)/6</f>
        <v/>
      </c>
      <c r="I13" s="38">
        <f>(G13-E13)/6</f>
        <v/>
      </c>
      <c r="J13" s="38">
        <f>I13^2</f>
        <v/>
      </c>
      <c r="K13" s="38">
        <f>MAX(L11)</f>
        <v/>
      </c>
      <c r="L13" s="38">
        <f>K13+H13</f>
        <v/>
      </c>
      <c r="M13" s="38">
        <f>N13-H13</f>
        <v/>
      </c>
      <c r="N13" s="38">
        <f>MIN(M17)</f>
        <v/>
      </c>
      <c r="O13" s="38">
        <f>M13-K13</f>
        <v/>
      </c>
      <c r="P13" s="28">
        <f>IF(ABS(O13)&lt;0.005,"Găng","")</f>
        <v/>
      </c>
      <c r="Q13" s="39">
        <f>WORKDAY($C$3,INT(K13))</f>
        <v/>
      </c>
      <c r="R13" s="39">
        <f>WORKDAY($C$3,ROUNDUP(L13,0)-1)</f>
        <v/>
      </c>
      <c r="S13" s="40" t="n"/>
      <c r="T13" s="38">
        <f>IF(S13="","",H13-S13)</f>
        <v/>
      </c>
    </row>
    <row r="14">
      <c r="A14" s="28" t="inlineStr">
        <is>
          <t>F</t>
        </is>
      </c>
      <c r="B14" s="24" t="inlineStr">
        <is>
          <t>Nền tảng backend, xác thực và phân quyền</t>
        </is>
      </c>
      <c r="C14" s="23" t="inlineStr">
        <is>
          <t>4.1</t>
        </is>
      </c>
      <c r="D14" s="23" t="inlineStr">
        <is>
          <t>D</t>
        </is>
      </c>
      <c r="E14" s="37" t="n">
        <v>3</v>
      </c>
      <c r="F14" s="37" t="n">
        <v>5</v>
      </c>
      <c r="G14" s="37" t="n">
        <v>8</v>
      </c>
      <c r="H14" s="38">
        <f>(E14+4*F14+G14)/6</f>
        <v/>
      </c>
      <c r="I14" s="38">
        <f>(G14-E14)/6</f>
        <v/>
      </c>
      <c r="J14" s="38">
        <f>I14^2</f>
        <v/>
      </c>
      <c r="K14" s="38">
        <f>MAX(L12)</f>
        <v/>
      </c>
      <c r="L14" s="38">
        <f>K14+H14</f>
        <v/>
      </c>
      <c r="M14" s="38">
        <f>N14-H14</f>
        <v/>
      </c>
      <c r="N14" s="38">
        <f>MIN(M15,M16,M18)</f>
        <v/>
      </c>
      <c r="O14" s="38">
        <f>M14-K14</f>
        <v/>
      </c>
      <c r="P14" s="28">
        <f>IF(ABS(O14)&lt;0.005,"Găng","")</f>
        <v/>
      </c>
      <c r="Q14" s="39">
        <f>WORKDAY($C$3,INT(K14))</f>
        <v/>
      </c>
      <c r="R14" s="39">
        <f>WORKDAY($C$3,ROUNDUP(L14,0)-1)</f>
        <v/>
      </c>
      <c r="S14" s="40" t="n"/>
      <c r="T14" s="38">
        <f>IF(S14="","",H14-S14)</f>
        <v/>
      </c>
    </row>
    <row r="15">
      <c r="A15" s="28" t="inlineStr">
        <is>
          <t>G</t>
        </is>
      </c>
      <c r="B15" s="24" t="inlineStr">
        <is>
          <t>Phát triển API nghiệp vụ</t>
        </is>
      </c>
      <c r="C15" s="23" t="inlineStr">
        <is>
          <t>4.2</t>
        </is>
      </c>
      <c r="D15" s="23" t="inlineStr">
        <is>
          <t>F</t>
        </is>
      </c>
      <c r="E15" s="37" t="n">
        <v>14</v>
      </c>
      <c r="F15" s="37" t="n">
        <v>18</v>
      </c>
      <c r="G15" s="37" t="n">
        <v>26</v>
      </c>
      <c r="H15" s="38">
        <f>(E15+4*F15+G15)/6</f>
        <v/>
      </c>
      <c r="I15" s="38">
        <f>(G15-E15)/6</f>
        <v/>
      </c>
      <c r="J15" s="38">
        <f>I15^2</f>
        <v/>
      </c>
      <c r="K15" s="38">
        <f>MAX(L14)</f>
        <v/>
      </c>
      <c r="L15" s="38">
        <f>K15+H15</f>
        <v/>
      </c>
      <c r="M15" s="38">
        <f>N15-H15</f>
        <v/>
      </c>
      <c r="N15" s="38">
        <f>MIN(M19)</f>
        <v/>
      </c>
      <c r="O15" s="38">
        <f>M15-K15</f>
        <v/>
      </c>
      <c r="P15" s="28">
        <f>IF(ABS(O15)&lt;0.005,"Găng","")</f>
        <v/>
      </c>
      <c r="Q15" s="39">
        <f>WORKDAY($C$3,INT(K15))</f>
        <v/>
      </c>
      <c r="R15" s="39">
        <f>WORKDAY($C$3,ROUNDUP(L15,0)-1)</f>
        <v/>
      </c>
      <c r="S15" s="40" t="n"/>
      <c r="T15" s="38">
        <f>IF(S15="","",H15-S15)</f>
        <v/>
      </c>
    </row>
    <row r="16">
      <c r="A16" s="28" t="inlineStr">
        <is>
          <t>H</t>
        </is>
      </c>
      <c r="B16" s="24" t="inlineStr">
        <is>
          <t>Tích hợp phần mềm bán hàng, chuyển đổi dữ liệu</t>
        </is>
      </c>
      <c r="C16" s="23" t="inlineStr">
        <is>
          <t>4.4</t>
        </is>
      </c>
      <c r="D16" s="23" t="inlineStr">
        <is>
          <t>F</t>
        </is>
      </c>
      <c r="E16" s="37" t="n">
        <v>8</v>
      </c>
      <c r="F16" s="37" t="n">
        <v>12</v>
      </c>
      <c r="G16" s="37" t="n">
        <v>20</v>
      </c>
      <c r="H16" s="38">
        <f>(E16+4*F16+G16)/6</f>
        <v/>
      </c>
      <c r="I16" s="38">
        <f>(G16-E16)/6</f>
        <v/>
      </c>
      <c r="J16" s="38">
        <f>I16^2</f>
        <v/>
      </c>
      <c r="K16" s="38">
        <f>MAX(L14)</f>
        <v/>
      </c>
      <c r="L16" s="38">
        <f>K16+H16</f>
        <v/>
      </c>
      <c r="M16" s="38">
        <f>N16-H16</f>
        <v/>
      </c>
      <c r="N16" s="38">
        <f>MIN(M21)</f>
        <v/>
      </c>
      <c r="O16" s="38">
        <f>M16-K16</f>
        <v/>
      </c>
      <c r="P16" s="28">
        <f>IF(ABS(O16)&lt;0.005,"Găng","")</f>
        <v/>
      </c>
      <c r="Q16" s="39">
        <f>WORKDAY($C$3,INT(K16))</f>
        <v/>
      </c>
      <c r="R16" s="39">
        <f>WORKDAY($C$3,ROUNDUP(L16,0)-1)</f>
        <v/>
      </c>
      <c r="S16" s="40" t="n"/>
      <c r="T16" s="38">
        <f>IF(S16="","",H16-S16)</f>
        <v/>
      </c>
    </row>
    <row r="17">
      <c r="A17" s="28" t="inlineStr">
        <is>
          <t>I</t>
        </is>
      </c>
      <c r="B17" s="24" t="inlineStr">
        <is>
          <t>Khung giao diện và thư viện component</t>
        </is>
      </c>
      <c r="C17" s="23" t="inlineStr">
        <is>
          <t>5.1</t>
        </is>
      </c>
      <c r="D17" s="23" t="inlineStr">
        <is>
          <t>E</t>
        </is>
      </c>
      <c r="E17" s="37" t="n">
        <v>5</v>
      </c>
      <c r="F17" s="37" t="n">
        <v>7</v>
      </c>
      <c r="G17" s="37" t="n">
        <v>10</v>
      </c>
      <c r="H17" s="38">
        <f>(E17+4*F17+G17)/6</f>
        <v/>
      </c>
      <c r="I17" s="38">
        <f>(G17-E17)/6</f>
        <v/>
      </c>
      <c r="J17" s="38">
        <f>I17^2</f>
        <v/>
      </c>
      <c r="K17" s="38">
        <f>MAX(L13)</f>
        <v/>
      </c>
      <c r="L17" s="38">
        <f>K17+H17</f>
        <v/>
      </c>
      <c r="M17" s="38">
        <f>N17-H17</f>
        <v/>
      </c>
      <c r="N17" s="38">
        <f>MIN(M18)</f>
        <v/>
      </c>
      <c r="O17" s="38">
        <f>M17-K17</f>
        <v/>
      </c>
      <c r="P17" s="28">
        <f>IF(ABS(O17)&lt;0.005,"Găng","")</f>
        <v/>
      </c>
      <c r="Q17" s="39">
        <f>WORKDAY($C$3,INT(K17))</f>
        <v/>
      </c>
      <c r="R17" s="39">
        <f>WORKDAY($C$3,ROUNDUP(L17,0)-1)</f>
        <v/>
      </c>
      <c r="S17" s="40" t="n"/>
      <c r="T17" s="38">
        <f>IF(S17="","",H17-S17)</f>
        <v/>
      </c>
    </row>
    <row r="18">
      <c r="A18" s="28" t="inlineStr">
        <is>
          <t>J</t>
        </is>
      </c>
      <c r="B18" s="24" t="inlineStr">
        <is>
          <t>Phát triển các màn hình nghiệp vụ</t>
        </is>
      </c>
      <c r="C18" s="23" t="inlineStr">
        <is>
          <t>5.2, 5.3</t>
        </is>
      </c>
      <c r="D18" s="23" t="inlineStr">
        <is>
          <t>I, F</t>
        </is>
      </c>
      <c r="E18" s="37" t="n">
        <v>15</v>
      </c>
      <c r="F18" s="37" t="n">
        <v>20</v>
      </c>
      <c r="G18" s="37" t="n">
        <v>28</v>
      </c>
      <c r="H18" s="38">
        <f>(E18+4*F18+G18)/6</f>
        <v/>
      </c>
      <c r="I18" s="38">
        <f>(G18-E18)/6</f>
        <v/>
      </c>
      <c r="J18" s="38">
        <f>I18^2</f>
        <v/>
      </c>
      <c r="K18" s="38">
        <f>MAX(L17,L14)</f>
        <v/>
      </c>
      <c r="L18" s="38">
        <f>K18+H18</f>
        <v/>
      </c>
      <c r="M18" s="38">
        <f>N18-H18</f>
        <v/>
      </c>
      <c r="N18" s="38">
        <f>MIN(M21)</f>
        <v/>
      </c>
      <c r="O18" s="38">
        <f>M18-K18</f>
        <v/>
      </c>
      <c r="P18" s="28">
        <f>IF(ABS(O18)&lt;0.005,"Găng","")</f>
        <v/>
      </c>
      <c r="Q18" s="39">
        <f>WORKDAY($C$3,INT(K18))</f>
        <v/>
      </c>
      <c r="R18" s="39">
        <f>WORKDAY($C$3,ROUNDUP(L18,0)-1)</f>
        <v/>
      </c>
      <c r="S18" s="40" t="n"/>
      <c r="T18" s="38">
        <f>IF(S18="","",H18-S18)</f>
        <v/>
      </c>
    </row>
    <row r="19">
      <c r="A19" s="28" t="inlineStr">
        <is>
          <t>K</t>
        </is>
      </c>
      <c r="B19" s="24" t="inlineStr">
        <is>
          <t>Chức năng xuất báo cáo CSV/PDF</t>
        </is>
      </c>
      <c r="C19" s="23" t="inlineStr">
        <is>
          <t>4.3</t>
        </is>
      </c>
      <c r="D19" s="23" t="inlineStr">
        <is>
          <t>G</t>
        </is>
      </c>
      <c r="E19" s="37" t="n">
        <v>3</v>
      </c>
      <c r="F19" s="37" t="n">
        <v>5</v>
      </c>
      <c r="G19" s="37" t="n">
        <v>8</v>
      </c>
      <c r="H19" s="38">
        <f>(E19+4*F19+G19)/6</f>
        <v/>
      </c>
      <c r="I19" s="38">
        <f>(G19-E19)/6</f>
        <v/>
      </c>
      <c r="J19" s="38">
        <f>I19^2</f>
        <v/>
      </c>
      <c r="K19" s="38">
        <f>MAX(L15)</f>
        <v/>
      </c>
      <c r="L19" s="38">
        <f>K19+H19</f>
        <v/>
      </c>
      <c r="M19" s="38">
        <f>N19-H19</f>
        <v/>
      </c>
      <c r="N19" s="38">
        <f>MIN(M21)</f>
        <v/>
      </c>
      <c r="O19" s="38">
        <f>M19-K19</f>
        <v/>
      </c>
      <c r="P19" s="28">
        <f>IF(ABS(O19)&lt;0.005,"Găng","")</f>
        <v/>
      </c>
      <c r="Q19" s="39">
        <f>WORKDAY($C$3,INT(K19))</f>
        <v/>
      </c>
      <c r="R19" s="39">
        <f>WORKDAY($C$3,ROUNDUP(L19,0)-1)</f>
        <v/>
      </c>
      <c r="S19" s="40" t="n"/>
      <c r="T19" s="38">
        <f>IF(S19="","",H19-S19)</f>
        <v/>
      </c>
    </row>
    <row r="20">
      <c r="A20" s="28" t="inlineStr">
        <is>
          <t>L</t>
        </is>
      </c>
      <c r="B20" s="24" t="inlineStr">
        <is>
          <t>Kế hoạch kiểm thử và test case</t>
        </is>
      </c>
      <c r="C20" s="23" t="inlineStr">
        <is>
          <t>6.1</t>
        </is>
      </c>
      <c r="D20" s="23" t="inlineStr">
        <is>
          <t>C</t>
        </is>
      </c>
      <c r="E20" s="37" t="n">
        <v>3</v>
      </c>
      <c r="F20" s="37" t="n">
        <v>4</v>
      </c>
      <c r="G20" s="37" t="n">
        <v>6</v>
      </c>
      <c r="H20" s="38">
        <f>(E20+4*F20+G20)/6</f>
        <v/>
      </c>
      <c r="I20" s="38">
        <f>(G20-E20)/6</f>
        <v/>
      </c>
      <c r="J20" s="38">
        <f>I20^2</f>
        <v/>
      </c>
      <c r="K20" s="38">
        <f>MAX(L11)</f>
        <v/>
      </c>
      <c r="L20" s="38">
        <f>K20+H20</f>
        <v/>
      </c>
      <c r="M20" s="38">
        <f>N20-H20</f>
        <v/>
      </c>
      <c r="N20" s="38">
        <f>MIN(M21)</f>
        <v/>
      </c>
      <c r="O20" s="38">
        <f>M20-K20</f>
        <v/>
      </c>
      <c r="P20" s="28">
        <f>IF(ABS(O20)&lt;0.005,"Găng","")</f>
        <v/>
      </c>
      <c r="Q20" s="39">
        <f>WORKDAY($C$3,INT(K20))</f>
        <v/>
      </c>
      <c r="R20" s="39">
        <f>WORKDAY($C$3,ROUNDUP(L20,0)-1)</f>
        <v/>
      </c>
      <c r="S20" s="40" t="n"/>
      <c r="T20" s="38">
        <f>IF(S20="","",H20-S20)</f>
        <v/>
      </c>
    </row>
    <row r="21">
      <c r="A21" s="28" t="inlineStr">
        <is>
          <t>M</t>
        </is>
      </c>
      <c r="B21" s="24" t="inlineStr">
        <is>
          <t>Kiểm thử hệ thống và sửa lỗi</t>
        </is>
      </c>
      <c r="C21" s="23" t="inlineStr">
        <is>
          <t>6.2</t>
        </is>
      </c>
      <c r="D21" s="23" t="inlineStr">
        <is>
          <t>J, K, H, L</t>
        </is>
      </c>
      <c r="E21" s="37" t="n">
        <v>8</v>
      </c>
      <c r="F21" s="37" t="n">
        <v>12</v>
      </c>
      <c r="G21" s="37" t="n">
        <v>18</v>
      </c>
      <c r="H21" s="38">
        <f>(E21+4*F21+G21)/6</f>
        <v/>
      </c>
      <c r="I21" s="38">
        <f>(G21-E21)/6</f>
        <v/>
      </c>
      <c r="J21" s="38">
        <f>I21^2</f>
        <v/>
      </c>
      <c r="K21" s="38">
        <f>MAX(L18,L19,L16,L20)</f>
        <v/>
      </c>
      <c r="L21" s="38">
        <f>K21+H21</f>
        <v/>
      </c>
      <c r="M21" s="38">
        <f>N21-H21</f>
        <v/>
      </c>
      <c r="N21" s="38">
        <f>MIN(M22)</f>
        <v/>
      </c>
      <c r="O21" s="38">
        <f>M21-K21</f>
        <v/>
      </c>
      <c r="P21" s="28">
        <f>IF(ABS(O21)&lt;0.005,"Găng","")</f>
        <v/>
      </c>
      <c r="Q21" s="39">
        <f>WORKDAY($C$3,INT(K21))</f>
        <v/>
      </c>
      <c r="R21" s="39">
        <f>WORKDAY($C$3,ROUNDUP(L21,0)-1)</f>
        <v/>
      </c>
      <c r="S21" s="40" t="n"/>
      <c r="T21" s="38">
        <f>IF(S21="","",H21-S21)</f>
        <v/>
      </c>
    </row>
    <row r="22">
      <c r="A22" s="28" t="inlineStr">
        <is>
          <t>N</t>
        </is>
      </c>
      <c r="B22" s="24" t="inlineStr">
        <is>
          <t>Kiểm thử chấp nhận (UAT) và nghiệm thu</t>
        </is>
      </c>
      <c r="C22" s="23" t="inlineStr">
        <is>
          <t>6.3</t>
        </is>
      </c>
      <c r="D22" s="23" t="inlineStr">
        <is>
          <t>M</t>
        </is>
      </c>
      <c r="E22" s="37" t="n">
        <v>3</v>
      </c>
      <c r="F22" s="37" t="n">
        <v>5</v>
      </c>
      <c r="G22" s="37" t="n">
        <v>8</v>
      </c>
      <c r="H22" s="38">
        <f>(E22+4*F22+G22)/6</f>
        <v/>
      </c>
      <c r="I22" s="38">
        <f>(G22-E22)/6</f>
        <v/>
      </c>
      <c r="J22" s="38">
        <f>I22^2</f>
        <v/>
      </c>
      <c r="K22" s="38">
        <f>MAX(L21)</f>
        <v/>
      </c>
      <c r="L22" s="38">
        <f>K22+H22</f>
        <v/>
      </c>
      <c r="M22" s="38">
        <f>N22-H22</f>
        <v/>
      </c>
      <c r="N22" s="38">
        <f>MIN(M23)</f>
        <v/>
      </c>
      <c r="O22" s="38">
        <f>M22-K22</f>
        <v/>
      </c>
      <c r="P22" s="28">
        <f>IF(ABS(O22)&lt;0.005,"Găng","")</f>
        <v/>
      </c>
      <c r="Q22" s="39">
        <f>WORKDAY($C$3,INT(K22))</f>
        <v/>
      </c>
      <c r="R22" s="39">
        <f>WORKDAY($C$3,ROUNDUP(L22,0)-1)</f>
        <v/>
      </c>
      <c r="S22" s="40" t="n"/>
      <c r="T22" s="38">
        <f>IF(S22="","",H22-S22)</f>
        <v/>
      </c>
    </row>
    <row r="23">
      <c r="A23" s="28" t="inlineStr">
        <is>
          <t>O</t>
        </is>
      </c>
      <c r="B23" s="24" t="inlineStr">
        <is>
          <t>Go-live, đào tạo người dùng</t>
        </is>
      </c>
      <c r="C23" s="23" t="inlineStr">
        <is>
          <t>7.1, 7.2</t>
        </is>
      </c>
      <c r="D23" s="23" t="inlineStr">
        <is>
          <t>N</t>
        </is>
      </c>
      <c r="E23" s="37" t="n">
        <v>3</v>
      </c>
      <c r="F23" s="37" t="n">
        <v>4</v>
      </c>
      <c r="G23" s="37" t="n">
        <v>7</v>
      </c>
      <c r="H23" s="38">
        <f>(E23+4*F23+G23)/6</f>
        <v/>
      </c>
      <c r="I23" s="38">
        <f>(G23-E23)/6</f>
        <v/>
      </c>
      <c r="J23" s="38">
        <f>I23^2</f>
        <v/>
      </c>
      <c r="K23" s="38">
        <f>MAX(L22)</f>
        <v/>
      </c>
      <c r="L23" s="38">
        <f>K23+H23</f>
        <v/>
      </c>
      <c r="M23" s="38">
        <f>N23-H23</f>
        <v/>
      </c>
      <c r="N23" s="38">
        <f>$C$26</f>
        <v/>
      </c>
      <c r="O23" s="38">
        <f>M23-K23</f>
        <v/>
      </c>
      <c r="P23" s="28">
        <f>IF(ABS(O23)&lt;0.005,"Găng","")</f>
        <v/>
      </c>
      <c r="Q23" s="39">
        <f>WORKDAY($C$3,INT(K23))</f>
        <v/>
      </c>
      <c r="R23" s="39">
        <f>WORKDAY($C$3,ROUNDUP(L23,0)-1)</f>
        <v/>
      </c>
      <c r="S23" s="40" t="n"/>
      <c r="T23" s="38">
        <f>IF(S23="","",H23-S23)</f>
        <v/>
      </c>
    </row>
    <row r="25">
      <c r="A25" s="1" t="inlineStr">
        <is>
          <t>KẾT QUẢ</t>
        </is>
      </c>
    </row>
    <row r="26">
      <c r="A26" s="26" t="inlineStr">
        <is>
          <t>Thời gian dự án kỳ vọng T (ngày làm việc)</t>
        </is>
      </c>
      <c r="B26" s="41" t="n"/>
      <c r="C26" s="42">
        <f>MAX(L9:L23)</f>
        <v/>
      </c>
    </row>
    <row r="27">
      <c r="A27" s="26" t="inlineStr">
        <is>
          <t>Đường găng</t>
        </is>
      </c>
      <c r="B27" s="41" t="n"/>
      <c r="C27" s="26">
        <f>LEFT(IF(P9="Găng","A → ","")&amp;IF(P10="Găng","B → ","")&amp;IF(P11="Găng","C → ","")&amp;IF(P12="Găng","D → ","")&amp;IF(P13="Găng","E → ","")&amp;IF(P14="Găng","F → ","")&amp;IF(P15="Găng","G → ","")&amp;IF(P16="Găng","H → ","")&amp;IF(P17="Găng","I → ","")&amp;IF(P18="Găng","J → ","")&amp;IF(P19="Găng","K → ","")&amp;IF(P20="Găng","L → ","")&amp;IF(P21="Găng","M → ","")&amp;IF(P22="Găng","N → ","")&amp;IF(P23="Găng","O → ",""),LEN(IF(P9="Găng","A → ","")&amp;IF(P10="Găng","B → ","")&amp;IF(P11="Găng","C → ","")&amp;IF(P12="Găng","D → ","")&amp;IF(P13="Găng","E → ","")&amp;IF(P14="Găng","F → ","")&amp;IF(P15="Găng","G → ","")&amp;IF(P16="Găng","H → ","")&amp;IF(P17="Găng","I → ","")&amp;IF(P18="Găng","J → ","")&amp;IF(P19="Găng","K → ","")&amp;IF(P20="Găng","L → ","")&amp;IF(P21="Găng","M → ","")&amp;IF(P22="Găng","N → ","")&amp;IF(P23="Găng","O → ",""))-3)</f>
        <v/>
      </c>
      <c r="D27" s="43" t="n"/>
      <c r="E27" s="43" t="n"/>
      <c r="F27" s="43" t="n"/>
      <c r="G27" s="43" t="n"/>
      <c r="H27" s="43" t="n"/>
      <c r="I27" s="43" t="n"/>
      <c r="J27" s="44" t="n"/>
    </row>
    <row r="28">
      <c r="A28" s="26" t="inlineStr">
        <is>
          <t>Tổng phương sai đường găng Σσ²</t>
        </is>
      </c>
      <c r="B28" s="41" t="n"/>
      <c r="C28" s="42">
        <f>SUMIF(P9:P23,"Găng",J9:J23)</f>
        <v/>
      </c>
    </row>
    <row r="29">
      <c r="A29" s="26" t="inlineStr">
        <is>
          <t>Độ lệch chuẩn đường găng σ</t>
        </is>
      </c>
      <c r="B29" s="41" t="n"/>
      <c r="C29" s="42">
        <f>SQRT(C28)</f>
        <v/>
      </c>
    </row>
    <row r="30">
      <c r="A30" s="26" t="inlineStr">
        <is>
          <t>Số ngày làm việc tới hạn chót</t>
        </is>
      </c>
      <c r="B30" s="41" t="n"/>
      <c r="C30" s="29">
        <f>C5</f>
        <v/>
      </c>
    </row>
    <row r="31">
      <c r="A31" s="26" t="inlineStr">
        <is>
          <t>Chênh lệch T − hạn chót (ngày; dương = trễ)</t>
        </is>
      </c>
      <c r="B31" s="41" t="n"/>
      <c r="C31" s="42">
        <f>C26-C30</f>
        <v/>
      </c>
    </row>
    <row r="32">
      <c r="A32" s="26" t="inlineStr">
        <is>
          <t>Z = (hạn chót − T) / σ</t>
        </is>
      </c>
      <c r="B32" s="41" t="n"/>
      <c r="C32" s="42">
        <f>(C30-C26)/C29</f>
        <v/>
      </c>
    </row>
    <row r="33">
      <c r="A33" s="26" t="inlineStr">
        <is>
          <t>Xác suất hoàn thành đúng hạn P(Z)</t>
        </is>
      </c>
      <c r="B33" s="41" t="n"/>
      <c r="C33" s="45">
        <f>NORMSDIST(C32)</f>
        <v/>
      </c>
    </row>
    <row r="34">
      <c r="A34" s="26" t="inlineStr">
        <is>
          <t>Ngày kết thúc dự kiến (T)</t>
        </is>
      </c>
      <c r="B34" s="41" t="n"/>
      <c r="C34" s="46">
        <f>WORKDAY(C3,ROUNDUP(C26,0)-1)</f>
        <v/>
      </c>
    </row>
    <row r="35">
      <c r="A35" s="26" t="inlineStr">
        <is>
          <t>Kết luận</t>
        </is>
      </c>
      <c r="B35" s="41" t="n"/>
      <c r="C35" s="26">
        <f>IF(C31&lt;=0,"Kịp hạn chót","TRỄ HẠN – cần nén lịch (crashing / fast-tracking)")</f>
        <v/>
      </c>
    </row>
  </sheetData>
  <mergeCells count="11">
    <mergeCell ref="A26:B26"/>
    <mergeCell ref="A30:B30"/>
    <mergeCell ref="A29:B29"/>
    <mergeCell ref="A33:B33"/>
    <mergeCell ref="A28:B28"/>
    <mergeCell ref="A32:B32"/>
    <mergeCell ref="C27:J27"/>
    <mergeCell ref="A27:B27"/>
    <mergeCell ref="A31:B31"/>
    <mergeCell ref="A34:B34"/>
    <mergeCell ref="A35:B35"/>
  </mergeCells>
  <conditionalFormatting sqref="A9:P23">
    <cfRule type="expression" priority="1" dxfId="0">
      <formula>$P9="Găng"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L20"/>
  <sheetViews>
    <sheetView showGridLines="1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6" customWidth="1" min="2" max="2"/>
    <col width="6" customWidth="1" min="3" max="3"/>
    <col width="6" customWidth="1" min="4" max="4"/>
    <col width="7" customWidth="1" min="5" max="5"/>
    <col width="2.6" customWidth="1" min="6" max="6"/>
    <col width="2.6" customWidth="1" min="7" max="7"/>
    <col width="2.6" customWidth="1" min="8" max="8"/>
    <col width="2.6" customWidth="1" min="9" max="9"/>
    <col width="2.6" customWidth="1" min="10" max="10"/>
    <col width="2.6" customWidth="1" min="11" max="11"/>
    <col width="2.6" customWidth="1" min="12" max="12"/>
    <col width="2.6" customWidth="1" min="13" max="13"/>
    <col width="2.6" customWidth="1" min="14" max="14"/>
    <col width="2.6" customWidth="1" min="15" max="15"/>
    <col width="2.6" customWidth="1" min="16" max="16"/>
    <col width="2.6" customWidth="1" min="17" max="17"/>
    <col width="2.6" customWidth="1" min="18" max="18"/>
    <col width="2.6" customWidth="1" min="19" max="19"/>
    <col width="2.6" customWidth="1" min="20" max="20"/>
    <col width="2.6" customWidth="1" min="21" max="21"/>
    <col width="2.6" customWidth="1" min="22" max="22"/>
    <col width="2.6" customWidth="1" min="23" max="23"/>
    <col width="2.6" customWidth="1" min="24" max="24"/>
    <col width="2.6" customWidth="1" min="25" max="25"/>
    <col width="2.6" customWidth="1" min="26" max="26"/>
    <col width="2.6" customWidth="1" min="27" max="27"/>
    <col width="2.6" customWidth="1" min="28" max="28"/>
    <col width="2.6" customWidth="1" min="29" max="29"/>
    <col width="2.6" customWidth="1" min="30" max="30"/>
    <col width="2.6" customWidth="1" min="31" max="31"/>
    <col width="2.6" customWidth="1" min="32" max="32"/>
    <col width="2.6" customWidth="1" min="33" max="33"/>
    <col width="2.6" customWidth="1" min="34" max="34"/>
    <col width="2.6" customWidth="1" min="35" max="35"/>
    <col width="2.6" customWidth="1" min="36" max="36"/>
    <col width="2.6" customWidth="1" min="37" max="37"/>
    <col width="2.6" customWidth="1" min="38" max="38"/>
    <col width="2.6" customWidth="1" min="39" max="39"/>
    <col width="2.6" customWidth="1" min="40" max="40"/>
    <col width="2.6" customWidth="1" min="41" max="41"/>
    <col width="2.6" customWidth="1" min="42" max="42"/>
    <col width="2.6" customWidth="1" min="43" max="43"/>
    <col width="2.6" customWidth="1" min="44" max="44"/>
    <col width="2.6" customWidth="1" min="45" max="45"/>
    <col width="2.6" customWidth="1" min="46" max="46"/>
    <col width="2.6" customWidth="1" min="47" max="47"/>
    <col width="2.6" customWidth="1" min="48" max="48"/>
    <col width="2.6" customWidth="1" min="49" max="49"/>
    <col width="2.6" customWidth="1" min="50" max="50"/>
    <col width="2.6" customWidth="1" min="51" max="51"/>
    <col width="2.6" customWidth="1" min="52" max="52"/>
    <col width="2.6" customWidth="1" min="53" max="53"/>
    <col width="2.6" customWidth="1" min="54" max="54"/>
    <col width="2.6" customWidth="1" min="55" max="55"/>
    <col width="2.6" customWidth="1" min="56" max="56"/>
    <col width="2.6" customWidth="1" min="57" max="57"/>
    <col width="2.6" customWidth="1" min="58" max="58"/>
    <col width="2.6" customWidth="1" min="59" max="59"/>
    <col width="2.6" customWidth="1" min="60" max="60"/>
    <col width="2.6" customWidth="1" min="61" max="61"/>
    <col width="2.6" customWidth="1" min="62" max="62"/>
    <col width="2.6" customWidth="1" min="63" max="63"/>
    <col width="2.6" customWidth="1" min="64" max="64"/>
    <col width="2.6" customWidth="1" min="65" max="65"/>
    <col width="2.6" customWidth="1" min="66" max="66"/>
    <col width="2.6" customWidth="1" min="67" max="67"/>
    <col width="2.6" customWidth="1" min="68" max="68"/>
    <col width="2.6" customWidth="1" min="69" max="69"/>
    <col width="2.6" customWidth="1" min="70" max="70"/>
    <col width="2.6" customWidth="1" min="71" max="71"/>
    <col width="2.6" customWidth="1" min="72" max="72"/>
    <col width="2.6" customWidth="1" min="73" max="73"/>
    <col width="2.6" customWidth="1" min="74" max="74"/>
    <col width="2.6" customWidth="1" min="75" max="75"/>
    <col width="2.6" customWidth="1" min="76" max="76"/>
    <col width="2.6" customWidth="1" min="77" max="77"/>
    <col width="2.6" customWidth="1" min="78" max="78"/>
    <col width="2.6" customWidth="1" min="79" max="79"/>
    <col width="2.6" customWidth="1" min="80" max="80"/>
    <col width="2.6" customWidth="1" min="81" max="81"/>
    <col width="2.6" customWidth="1" min="82" max="82"/>
    <col width="2.6" customWidth="1" min="83" max="83"/>
    <col width="2.6" customWidth="1" min="84" max="84"/>
    <col width="2.6" customWidth="1" min="85" max="85"/>
    <col width="2.6" customWidth="1" min="86" max="86"/>
    <col width="2.6" customWidth="1" min="87" max="87"/>
    <col width="2.6" customWidth="1" min="88" max="88"/>
    <col width="2.6" customWidth="1" min="89" max="89"/>
    <col width="2.6" customWidth="1" min="90" max="90"/>
  </cols>
  <sheetData>
    <row r="1">
      <c r="A1" s="1" t="inlineStr">
        <is>
          <t>BIỂU ĐỒ GANTT (tự vẽ từ sheet PERT)</t>
        </is>
      </c>
    </row>
    <row r="2">
      <c r="A2" s="2" t="inlineStr">
        <is>
          <t>Đỏ = hoạt động găng · Xanh = không găng · Cột cam = ngày làm việc cuối cùng trước hạn chót. Mỗi cột = 1 ngày làm việc.</t>
        </is>
      </c>
    </row>
    <row r="4" ht="34" customHeight="1">
      <c r="F4" s="47">
        <f>WORKDAY(PERT!$C$3,0)</f>
        <v/>
      </c>
      <c r="G4" s="47">
        <f>WORKDAY(PERT!$C$3,1)</f>
        <v/>
      </c>
      <c r="H4" s="47">
        <f>WORKDAY(PERT!$C$3,2)</f>
        <v/>
      </c>
      <c r="I4" s="47">
        <f>WORKDAY(PERT!$C$3,3)</f>
        <v/>
      </c>
      <c r="J4" s="47">
        <f>WORKDAY(PERT!$C$3,4)</f>
        <v/>
      </c>
      <c r="K4" s="47">
        <f>WORKDAY(PERT!$C$3,5)</f>
        <v/>
      </c>
      <c r="L4" s="47">
        <f>WORKDAY(PERT!$C$3,6)</f>
        <v/>
      </c>
      <c r="M4" s="47">
        <f>WORKDAY(PERT!$C$3,7)</f>
        <v/>
      </c>
      <c r="N4" s="47">
        <f>WORKDAY(PERT!$C$3,8)</f>
        <v/>
      </c>
      <c r="O4" s="47">
        <f>WORKDAY(PERT!$C$3,9)</f>
        <v/>
      </c>
      <c r="P4" s="47">
        <f>WORKDAY(PERT!$C$3,10)</f>
        <v/>
      </c>
      <c r="Q4" s="47">
        <f>WORKDAY(PERT!$C$3,11)</f>
        <v/>
      </c>
      <c r="R4" s="47">
        <f>WORKDAY(PERT!$C$3,12)</f>
        <v/>
      </c>
      <c r="S4" s="47">
        <f>WORKDAY(PERT!$C$3,13)</f>
        <v/>
      </c>
      <c r="T4" s="47">
        <f>WORKDAY(PERT!$C$3,14)</f>
        <v/>
      </c>
      <c r="U4" s="47">
        <f>WORKDAY(PERT!$C$3,15)</f>
        <v/>
      </c>
      <c r="V4" s="47">
        <f>WORKDAY(PERT!$C$3,16)</f>
        <v/>
      </c>
      <c r="W4" s="47">
        <f>WORKDAY(PERT!$C$3,17)</f>
        <v/>
      </c>
      <c r="X4" s="47">
        <f>WORKDAY(PERT!$C$3,18)</f>
        <v/>
      </c>
      <c r="Y4" s="47">
        <f>WORKDAY(PERT!$C$3,19)</f>
        <v/>
      </c>
      <c r="Z4" s="47">
        <f>WORKDAY(PERT!$C$3,20)</f>
        <v/>
      </c>
      <c r="AA4" s="47">
        <f>WORKDAY(PERT!$C$3,21)</f>
        <v/>
      </c>
      <c r="AB4" s="47">
        <f>WORKDAY(PERT!$C$3,22)</f>
        <v/>
      </c>
      <c r="AC4" s="47">
        <f>WORKDAY(PERT!$C$3,23)</f>
        <v/>
      </c>
      <c r="AD4" s="47">
        <f>WORKDAY(PERT!$C$3,24)</f>
        <v/>
      </c>
      <c r="AE4" s="47">
        <f>WORKDAY(PERT!$C$3,25)</f>
        <v/>
      </c>
      <c r="AF4" s="47">
        <f>WORKDAY(PERT!$C$3,26)</f>
        <v/>
      </c>
      <c r="AG4" s="47">
        <f>WORKDAY(PERT!$C$3,27)</f>
        <v/>
      </c>
      <c r="AH4" s="47">
        <f>WORKDAY(PERT!$C$3,28)</f>
        <v/>
      </c>
      <c r="AI4" s="47">
        <f>WORKDAY(PERT!$C$3,29)</f>
        <v/>
      </c>
      <c r="AJ4" s="47">
        <f>WORKDAY(PERT!$C$3,30)</f>
        <v/>
      </c>
      <c r="AK4" s="47">
        <f>WORKDAY(PERT!$C$3,31)</f>
        <v/>
      </c>
      <c r="AL4" s="47">
        <f>WORKDAY(PERT!$C$3,32)</f>
        <v/>
      </c>
      <c r="AM4" s="47">
        <f>WORKDAY(PERT!$C$3,33)</f>
        <v/>
      </c>
      <c r="AN4" s="47">
        <f>WORKDAY(PERT!$C$3,34)</f>
        <v/>
      </c>
      <c r="AO4" s="47">
        <f>WORKDAY(PERT!$C$3,35)</f>
        <v/>
      </c>
      <c r="AP4" s="47">
        <f>WORKDAY(PERT!$C$3,36)</f>
        <v/>
      </c>
      <c r="AQ4" s="47">
        <f>WORKDAY(PERT!$C$3,37)</f>
        <v/>
      </c>
      <c r="AR4" s="47">
        <f>WORKDAY(PERT!$C$3,38)</f>
        <v/>
      </c>
      <c r="AS4" s="47">
        <f>WORKDAY(PERT!$C$3,39)</f>
        <v/>
      </c>
      <c r="AT4" s="47">
        <f>WORKDAY(PERT!$C$3,40)</f>
        <v/>
      </c>
      <c r="AU4" s="47">
        <f>WORKDAY(PERT!$C$3,41)</f>
        <v/>
      </c>
      <c r="AV4" s="47">
        <f>WORKDAY(PERT!$C$3,42)</f>
        <v/>
      </c>
      <c r="AW4" s="47">
        <f>WORKDAY(PERT!$C$3,43)</f>
        <v/>
      </c>
      <c r="AX4" s="47">
        <f>WORKDAY(PERT!$C$3,44)</f>
        <v/>
      </c>
      <c r="AY4" s="47">
        <f>WORKDAY(PERT!$C$3,45)</f>
        <v/>
      </c>
      <c r="AZ4" s="47">
        <f>WORKDAY(PERT!$C$3,46)</f>
        <v/>
      </c>
      <c r="BA4" s="47">
        <f>WORKDAY(PERT!$C$3,47)</f>
        <v/>
      </c>
      <c r="BB4" s="47">
        <f>WORKDAY(PERT!$C$3,48)</f>
        <v/>
      </c>
      <c r="BC4" s="47">
        <f>WORKDAY(PERT!$C$3,49)</f>
        <v/>
      </c>
      <c r="BD4" s="47">
        <f>WORKDAY(PERT!$C$3,50)</f>
        <v/>
      </c>
      <c r="BE4" s="47">
        <f>WORKDAY(PERT!$C$3,51)</f>
        <v/>
      </c>
      <c r="BF4" s="47">
        <f>WORKDAY(PERT!$C$3,52)</f>
        <v/>
      </c>
      <c r="BG4" s="47">
        <f>WORKDAY(PERT!$C$3,53)</f>
        <v/>
      </c>
      <c r="BH4" s="47">
        <f>WORKDAY(PERT!$C$3,54)</f>
        <v/>
      </c>
      <c r="BI4" s="47">
        <f>WORKDAY(PERT!$C$3,55)</f>
        <v/>
      </c>
      <c r="BJ4" s="47">
        <f>WORKDAY(PERT!$C$3,56)</f>
        <v/>
      </c>
      <c r="BK4" s="47">
        <f>WORKDAY(PERT!$C$3,57)</f>
        <v/>
      </c>
      <c r="BL4" s="47">
        <f>WORKDAY(PERT!$C$3,58)</f>
        <v/>
      </c>
      <c r="BM4" s="47">
        <f>WORKDAY(PERT!$C$3,59)</f>
        <v/>
      </c>
      <c r="BN4" s="47">
        <f>WORKDAY(PERT!$C$3,60)</f>
        <v/>
      </c>
      <c r="BO4" s="47">
        <f>WORKDAY(PERT!$C$3,61)</f>
        <v/>
      </c>
      <c r="BP4" s="47">
        <f>WORKDAY(PERT!$C$3,62)</f>
        <v/>
      </c>
      <c r="BQ4" s="47">
        <f>WORKDAY(PERT!$C$3,63)</f>
        <v/>
      </c>
      <c r="BR4" s="47">
        <f>WORKDAY(PERT!$C$3,64)</f>
        <v/>
      </c>
      <c r="BS4" s="47">
        <f>WORKDAY(PERT!$C$3,65)</f>
        <v/>
      </c>
      <c r="BT4" s="47">
        <f>WORKDAY(PERT!$C$3,66)</f>
        <v/>
      </c>
      <c r="BU4" s="47">
        <f>WORKDAY(PERT!$C$3,67)</f>
        <v/>
      </c>
      <c r="BV4" s="47">
        <f>WORKDAY(PERT!$C$3,68)</f>
        <v/>
      </c>
      <c r="BW4" s="47">
        <f>WORKDAY(PERT!$C$3,69)</f>
        <v/>
      </c>
      <c r="BX4" s="47">
        <f>WORKDAY(PERT!$C$3,70)</f>
        <v/>
      </c>
      <c r="BY4" s="47">
        <f>WORKDAY(PERT!$C$3,71)</f>
        <v/>
      </c>
      <c r="BZ4" s="47">
        <f>WORKDAY(PERT!$C$3,72)</f>
        <v/>
      </c>
      <c r="CA4" s="47">
        <f>WORKDAY(PERT!$C$3,73)</f>
        <v/>
      </c>
      <c r="CB4" s="47">
        <f>WORKDAY(PERT!$C$3,74)</f>
        <v/>
      </c>
      <c r="CC4" s="47">
        <f>WORKDAY(PERT!$C$3,75)</f>
        <v/>
      </c>
      <c r="CD4" s="47">
        <f>WORKDAY(PERT!$C$3,76)</f>
        <v/>
      </c>
      <c r="CE4" s="47">
        <f>WORKDAY(PERT!$C$3,77)</f>
        <v/>
      </c>
      <c r="CF4" s="47">
        <f>WORKDAY(PERT!$C$3,78)</f>
        <v/>
      </c>
      <c r="CG4" s="47">
        <f>WORKDAY(PERT!$C$3,79)</f>
        <v/>
      </c>
      <c r="CH4" s="47">
        <f>WORKDAY(PERT!$C$3,80)</f>
        <v/>
      </c>
      <c r="CI4" s="47">
        <f>WORKDAY(PERT!$C$3,81)</f>
        <v/>
      </c>
      <c r="CJ4" s="47">
        <f>WORKDAY(PERT!$C$3,82)</f>
        <v/>
      </c>
      <c r="CK4" s="47">
        <f>WORKDAY(PERT!$C$3,83)</f>
        <v/>
      </c>
      <c r="CL4" s="47">
        <f>WORKDAY(PERT!$C$3,84)</f>
        <v/>
      </c>
    </row>
    <row r="5">
      <c r="A5" s="7" t="inlineStr">
        <is>
          <t>Mã</t>
        </is>
      </c>
      <c r="B5" s="7" t="inlineStr">
        <is>
          <t>Hoạt động</t>
        </is>
      </c>
      <c r="C5" s="7" t="inlineStr">
        <is>
          <t>ES</t>
        </is>
      </c>
      <c r="D5" s="7" t="inlineStr">
        <is>
          <t>EF</t>
        </is>
      </c>
      <c r="E5" s="7" t="inlineStr">
        <is>
          <t>Găng?</t>
        </is>
      </c>
      <c r="F5" s="48" t="n">
        <v>1</v>
      </c>
      <c r="G5" s="48" t="n">
        <v>2</v>
      </c>
      <c r="H5" s="48" t="n">
        <v>3</v>
      </c>
      <c r="I5" s="48" t="n">
        <v>4</v>
      </c>
      <c r="J5" s="48" t="n">
        <v>5</v>
      </c>
      <c r="K5" s="48" t="n">
        <v>6</v>
      </c>
      <c r="L5" s="48" t="n">
        <v>7</v>
      </c>
      <c r="M5" s="48" t="n">
        <v>8</v>
      </c>
      <c r="N5" s="48" t="n">
        <v>9</v>
      </c>
      <c r="O5" s="48" t="n">
        <v>10</v>
      </c>
      <c r="P5" s="48" t="n">
        <v>11</v>
      </c>
      <c r="Q5" s="48" t="n">
        <v>12</v>
      </c>
      <c r="R5" s="48" t="n">
        <v>13</v>
      </c>
      <c r="S5" s="48" t="n">
        <v>14</v>
      </c>
      <c r="T5" s="48" t="n">
        <v>15</v>
      </c>
      <c r="U5" s="48" t="n">
        <v>16</v>
      </c>
      <c r="V5" s="48" t="n">
        <v>17</v>
      </c>
      <c r="W5" s="48" t="n">
        <v>18</v>
      </c>
      <c r="X5" s="48" t="n">
        <v>19</v>
      </c>
      <c r="Y5" s="48" t="n">
        <v>20</v>
      </c>
      <c r="Z5" s="48" t="n">
        <v>21</v>
      </c>
      <c r="AA5" s="48" t="n">
        <v>22</v>
      </c>
      <c r="AB5" s="48" t="n">
        <v>23</v>
      </c>
      <c r="AC5" s="48" t="n">
        <v>24</v>
      </c>
      <c r="AD5" s="48" t="n">
        <v>25</v>
      </c>
      <c r="AE5" s="48" t="n">
        <v>26</v>
      </c>
      <c r="AF5" s="48" t="n">
        <v>27</v>
      </c>
      <c r="AG5" s="48" t="n">
        <v>28</v>
      </c>
      <c r="AH5" s="48" t="n">
        <v>29</v>
      </c>
      <c r="AI5" s="48" t="n">
        <v>30</v>
      </c>
      <c r="AJ5" s="48" t="n">
        <v>31</v>
      </c>
      <c r="AK5" s="48" t="n">
        <v>32</v>
      </c>
      <c r="AL5" s="48" t="n">
        <v>33</v>
      </c>
      <c r="AM5" s="48" t="n">
        <v>34</v>
      </c>
      <c r="AN5" s="48" t="n">
        <v>35</v>
      </c>
      <c r="AO5" s="48" t="n">
        <v>36</v>
      </c>
      <c r="AP5" s="48" t="n">
        <v>37</v>
      </c>
      <c r="AQ5" s="48" t="n">
        <v>38</v>
      </c>
      <c r="AR5" s="48" t="n">
        <v>39</v>
      </c>
      <c r="AS5" s="48" t="n">
        <v>40</v>
      </c>
      <c r="AT5" s="48" t="n">
        <v>41</v>
      </c>
      <c r="AU5" s="48" t="n">
        <v>42</v>
      </c>
      <c r="AV5" s="48" t="n">
        <v>43</v>
      </c>
      <c r="AW5" s="48" t="n">
        <v>44</v>
      </c>
      <c r="AX5" s="48" t="n">
        <v>45</v>
      </c>
      <c r="AY5" s="48" t="n">
        <v>46</v>
      </c>
      <c r="AZ5" s="48" t="n">
        <v>47</v>
      </c>
      <c r="BA5" s="48" t="n">
        <v>48</v>
      </c>
      <c r="BB5" s="48" t="n">
        <v>49</v>
      </c>
      <c r="BC5" s="48" t="n">
        <v>50</v>
      </c>
      <c r="BD5" s="48" t="n">
        <v>51</v>
      </c>
      <c r="BE5" s="48" t="n">
        <v>52</v>
      </c>
      <c r="BF5" s="48" t="n">
        <v>53</v>
      </c>
      <c r="BG5" s="48" t="n">
        <v>54</v>
      </c>
      <c r="BH5" s="48" t="n">
        <v>55</v>
      </c>
      <c r="BI5" s="48" t="n">
        <v>56</v>
      </c>
      <c r="BJ5" s="48" t="n">
        <v>57</v>
      </c>
      <c r="BK5" s="48" t="n">
        <v>58</v>
      </c>
      <c r="BL5" s="48" t="n">
        <v>59</v>
      </c>
      <c r="BM5" s="48" t="n">
        <v>60</v>
      </c>
      <c r="BN5" s="48" t="n">
        <v>61</v>
      </c>
      <c r="BO5" s="48" t="n">
        <v>62</v>
      </c>
      <c r="BP5" s="48" t="n">
        <v>63</v>
      </c>
      <c r="BQ5" s="48" t="n">
        <v>64</v>
      </c>
      <c r="BR5" s="48" t="n">
        <v>65</v>
      </c>
      <c r="BS5" s="48" t="n">
        <v>66</v>
      </c>
      <c r="BT5" s="48" t="n">
        <v>67</v>
      </c>
      <c r="BU5" s="48" t="n">
        <v>68</v>
      </c>
      <c r="BV5" s="48" t="n">
        <v>69</v>
      </c>
      <c r="BW5" s="48" t="n">
        <v>70</v>
      </c>
      <c r="BX5" s="48" t="n">
        <v>71</v>
      </c>
      <c r="BY5" s="48" t="n">
        <v>72</v>
      </c>
      <c r="BZ5" s="48" t="n">
        <v>73</v>
      </c>
      <c r="CA5" s="48" t="n">
        <v>74</v>
      </c>
      <c r="CB5" s="48" t="n">
        <v>75</v>
      </c>
      <c r="CC5" s="48" t="n">
        <v>76</v>
      </c>
      <c r="CD5" s="48" t="n">
        <v>77</v>
      </c>
      <c r="CE5" s="48" t="n">
        <v>78</v>
      </c>
      <c r="CF5" s="48" t="n">
        <v>79</v>
      </c>
      <c r="CG5" s="48" t="n">
        <v>80</v>
      </c>
      <c r="CH5" s="48" t="n">
        <v>81</v>
      </c>
      <c r="CI5" s="48" t="n">
        <v>82</v>
      </c>
      <c r="CJ5" s="48" t="n">
        <v>83</v>
      </c>
      <c r="CK5" s="48" t="n">
        <v>84</v>
      </c>
      <c r="CL5" s="48" t="n">
        <v>85</v>
      </c>
    </row>
    <row r="6">
      <c r="A6" s="28">
        <f>PERT!A9</f>
        <v/>
      </c>
      <c r="B6" s="22">
        <f>PERT!B9</f>
        <v/>
      </c>
      <c r="C6" s="49">
        <f>PERT!K9</f>
        <v/>
      </c>
      <c r="D6" s="49">
        <f>PERT!L9</f>
        <v/>
      </c>
      <c r="E6" s="28">
        <f>PERT!P9</f>
        <v/>
      </c>
      <c r="F6" s="50">
        <f>IF(AND(F$5&gt;$C6,F$5-1&lt;$D6),1,"")</f>
        <v/>
      </c>
      <c r="G6" s="50">
        <f>IF(AND(G$5&gt;$C6,G$5-1&lt;$D6),1,"")</f>
        <v/>
      </c>
      <c r="H6" s="50">
        <f>IF(AND(H$5&gt;$C6,H$5-1&lt;$D6),1,"")</f>
        <v/>
      </c>
      <c r="I6" s="50">
        <f>IF(AND(I$5&gt;$C6,I$5-1&lt;$D6),1,"")</f>
        <v/>
      </c>
      <c r="J6" s="50">
        <f>IF(AND(J$5&gt;$C6,J$5-1&lt;$D6),1,"")</f>
        <v/>
      </c>
      <c r="K6" s="50">
        <f>IF(AND(K$5&gt;$C6,K$5-1&lt;$D6),1,"")</f>
        <v/>
      </c>
      <c r="L6" s="50">
        <f>IF(AND(L$5&gt;$C6,L$5-1&lt;$D6),1,"")</f>
        <v/>
      </c>
      <c r="M6" s="50">
        <f>IF(AND(M$5&gt;$C6,M$5-1&lt;$D6),1,"")</f>
        <v/>
      </c>
      <c r="N6" s="50">
        <f>IF(AND(N$5&gt;$C6,N$5-1&lt;$D6),1,"")</f>
        <v/>
      </c>
      <c r="O6" s="50">
        <f>IF(AND(O$5&gt;$C6,O$5-1&lt;$D6),1,"")</f>
        <v/>
      </c>
      <c r="P6" s="50">
        <f>IF(AND(P$5&gt;$C6,P$5-1&lt;$D6),1,"")</f>
        <v/>
      </c>
      <c r="Q6" s="50">
        <f>IF(AND(Q$5&gt;$C6,Q$5-1&lt;$D6),1,"")</f>
        <v/>
      </c>
      <c r="R6" s="50">
        <f>IF(AND(R$5&gt;$C6,R$5-1&lt;$D6),1,"")</f>
        <v/>
      </c>
      <c r="S6" s="50">
        <f>IF(AND(S$5&gt;$C6,S$5-1&lt;$D6),1,"")</f>
        <v/>
      </c>
      <c r="T6" s="50">
        <f>IF(AND(T$5&gt;$C6,T$5-1&lt;$D6),1,"")</f>
        <v/>
      </c>
      <c r="U6" s="50">
        <f>IF(AND(U$5&gt;$C6,U$5-1&lt;$D6),1,"")</f>
        <v/>
      </c>
      <c r="V6" s="50">
        <f>IF(AND(V$5&gt;$C6,V$5-1&lt;$D6),1,"")</f>
        <v/>
      </c>
      <c r="W6" s="50">
        <f>IF(AND(W$5&gt;$C6,W$5-1&lt;$D6),1,"")</f>
        <v/>
      </c>
      <c r="X6" s="50">
        <f>IF(AND(X$5&gt;$C6,X$5-1&lt;$D6),1,"")</f>
        <v/>
      </c>
      <c r="Y6" s="50">
        <f>IF(AND(Y$5&gt;$C6,Y$5-1&lt;$D6),1,"")</f>
        <v/>
      </c>
      <c r="Z6" s="50">
        <f>IF(AND(Z$5&gt;$C6,Z$5-1&lt;$D6),1,"")</f>
        <v/>
      </c>
      <c r="AA6" s="50">
        <f>IF(AND(AA$5&gt;$C6,AA$5-1&lt;$D6),1,"")</f>
        <v/>
      </c>
      <c r="AB6" s="50">
        <f>IF(AND(AB$5&gt;$C6,AB$5-1&lt;$D6),1,"")</f>
        <v/>
      </c>
      <c r="AC6" s="50">
        <f>IF(AND(AC$5&gt;$C6,AC$5-1&lt;$D6),1,"")</f>
        <v/>
      </c>
      <c r="AD6" s="50">
        <f>IF(AND(AD$5&gt;$C6,AD$5-1&lt;$D6),1,"")</f>
        <v/>
      </c>
      <c r="AE6" s="50">
        <f>IF(AND(AE$5&gt;$C6,AE$5-1&lt;$D6),1,"")</f>
        <v/>
      </c>
      <c r="AF6" s="50">
        <f>IF(AND(AF$5&gt;$C6,AF$5-1&lt;$D6),1,"")</f>
        <v/>
      </c>
      <c r="AG6" s="50">
        <f>IF(AND(AG$5&gt;$C6,AG$5-1&lt;$D6),1,"")</f>
        <v/>
      </c>
      <c r="AH6" s="50">
        <f>IF(AND(AH$5&gt;$C6,AH$5-1&lt;$D6),1,"")</f>
        <v/>
      </c>
      <c r="AI6" s="50">
        <f>IF(AND(AI$5&gt;$C6,AI$5-1&lt;$D6),1,"")</f>
        <v/>
      </c>
      <c r="AJ6" s="50">
        <f>IF(AND(AJ$5&gt;$C6,AJ$5-1&lt;$D6),1,"")</f>
        <v/>
      </c>
      <c r="AK6" s="50">
        <f>IF(AND(AK$5&gt;$C6,AK$5-1&lt;$D6),1,"")</f>
        <v/>
      </c>
      <c r="AL6" s="50">
        <f>IF(AND(AL$5&gt;$C6,AL$5-1&lt;$D6),1,"")</f>
        <v/>
      </c>
      <c r="AM6" s="50">
        <f>IF(AND(AM$5&gt;$C6,AM$5-1&lt;$D6),1,"")</f>
        <v/>
      </c>
      <c r="AN6" s="50">
        <f>IF(AND(AN$5&gt;$C6,AN$5-1&lt;$D6),1,"")</f>
        <v/>
      </c>
      <c r="AO6" s="50">
        <f>IF(AND(AO$5&gt;$C6,AO$5-1&lt;$D6),1,"")</f>
        <v/>
      </c>
      <c r="AP6" s="50">
        <f>IF(AND(AP$5&gt;$C6,AP$5-1&lt;$D6),1,"")</f>
        <v/>
      </c>
      <c r="AQ6" s="50">
        <f>IF(AND(AQ$5&gt;$C6,AQ$5-1&lt;$D6),1,"")</f>
        <v/>
      </c>
      <c r="AR6" s="50">
        <f>IF(AND(AR$5&gt;$C6,AR$5-1&lt;$D6),1,"")</f>
        <v/>
      </c>
      <c r="AS6" s="50">
        <f>IF(AND(AS$5&gt;$C6,AS$5-1&lt;$D6),1,"")</f>
        <v/>
      </c>
      <c r="AT6" s="50">
        <f>IF(AND(AT$5&gt;$C6,AT$5-1&lt;$D6),1,"")</f>
        <v/>
      </c>
      <c r="AU6" s="50">
        <f>IF(AND(AU$5&gt;$C6,AU$5-1&lt;$D6),1,"")</f>
        <v/>
      </c>
      <c r="AV6" s="50">
        <f>IF(AND(AV$5&gt;$C6,AV$5-1&lt;$D6),1,"")</f>
        <v/>
      </c>
      <c r="AW6" s="50">
        <f>IF(AND(AW$5&gt;$C6,AW$5-1&lt;$D6),1,"")</f>
        <v/>
      </c>
      <c r="AX6" s="50">
        <f>IF(AND(AX$5&gt;$C6,AX$5-1&lt;$D6),1,"")</f>
        <v/>
      </c>
      <c r="AY6" s="50">
        <f>IF(AND(AY$5&gt;$C6,AY$5-1&lt;$D6),1,"")</f>
        <v/>
      </c>
      <c r="AZ6" s="50">
        <f>IF(AND(AZ$5&gt;$C6,AZ$5-1&lt;$D6),1,"")</f>
        <v/>
      </c>
      <c r="BA6" s="50">
        <f>IF(AND(BA$5&gt;$C6,BA$5-1&lt;$D6),1,"")</f>
        <v/>
      </c>
      <c r="BB6" s="50">
        <f>IF(AND(BB$5&gt;$C6,BB$5-1&lt;$D6),1,"")</f>
        <v/>
      </c>
      <c r="BC6" s="50">
        <f>IF(AND(BC$5&gt;$C6,BC$5-1&lt;$D6),1,"")</f>
        <v/>
      </c>
      <c r="BD6" s="50">
        <f>IF(AND(BD$5&gt;$C6,BD$5-1&lt;$D6),1,"")</f>
        <v/>
      </c>
      <c r="BE6" s="50">
        <f>IF(AND(BE$5&gt;$C6,BE$5-1&lt;$D6),1,"")</f>
        <v/>
      </c>
      <c r="BF6" s="50">
        <f>IF(AND(BF$5&gt;$C6,BF$5-1&lt;$D6),1,"")</f>
        <v/>
      </c>
      <c r="BG6" s="50">
        <f>IF(AND(BG$5&gt;$C6,BG$5-1&lt;$D6),1,"")</f>
        <v/>
      </c>
      <c r="BH6" s="50">
        <f>IF(AND(BH$5&gt;$C6,BH$5-1&lt;$D6),1,"")</f>
        <v/>
      </c>
      <c r="BI6" s="50">
        <f>IF(AND(BI$5&gt;$C6,BI$5-1&lt;$D6),1,"")</f>
        <v/>
      </c>
      <c r="BJ6" s="50">
        <f>IF(AND(BJ$5&gt;$C6,BJ$5-1&lt;$D6),1,"")</f>
        <v/>
      </c>
      <c r="BK6" s="50">
        <f>IF(AND(BK$5&gt;$C6,BK$5-1&lt;$D6),1,"")</f>
        <v/>
      </c>
      <c r="BL6" s="50">
        <f>IF(AND(BL$5&gt;$C6,BL$5-1&lt;$D6),1,"")</f>
        <v/>
      </c>
      <c r="BM6" s="50">
        <f>IF(AND(BM$5&gt;$C6,BM$5-1&lt;$D6),1,"")</f>
        <v/>
      </c>
      <c r="BN6" s="50">
        <f>IF(AND(BN$5&gt;$C6,BN$5-1&lt;$D6),1,"")</f>
        <v/>
      </c>
      <c r="BO6" s="50">
        <f>IF(AND(BO$5&gt;$C6,BO$5-1&lt;$D6),1,"")</f>
        <v/>
      </c>
      <c r="BP6" s="50">
        <f>IF(AND(BP$5&gt;$C6,BP$5-1&lt;$D6),1,"")</f>
        <v/>
      </c>
      <c r="BQ6" s="50">
        <f>IF(AND(BQ$5&gt;$C6,BQ$5-1&lt;$D6),1,"")</f>
        <v/>
      </c>
      <c r="BR6" s="50">
        <f>IF(AND(BR$5&gt;$C6,BR$5-1&lt;$D6),1,"")</f>
        <v/>
      </c>
      <c r="BS6" s="50">
        <f>IF(AND(BS$5&gt;$C6,BS$5-1&lt;$D6),1,"")</f>
        <v/>
      </c>
      <c r="BT6" s="50">
        <f>IF(AND(BT$5&gt;$C6,BT$5-1&lt;$D6),1,"")</f>
        <v/>
      </c>
      <c r="BU6" s="50">
        <f>IF(AND(BU$5&gt;$C6,BU$5-1&lt;$D6),1,"")</f>
        <v/>
      </c>
      <c r="BV6" s="50">
        <f>IF(AND(BV$5&gt;$C6,BV$5-1&lt;$D6),1,"")</f>
        <v/>
      </c>
      <c r="BW6" s="50">
        <f>IF(AND(BW$5&gt;$C6,BW$5-1&lt;$D6),1,"")</f>
        <v/>
      </c>
      <c r="BX6" s="50">
        <f>IF(AND(BX$5&gt;$C6,BX$5-1&lt;$D6),1,"")</f>
        <v/>
      </c>
      <c r="BY6" s="50">
        <f>IF(AND(BY$5&gt;$C6,BY$5-1&lt;$D6),1,"")</f>
        <v/>
      </c>
      <c r="BZ6" s="50">
        <f>IF(AND(BZ$5&gt;$C6,BZ$5-1&lt;$D6),1,"")</f>
        <v/>
      </c>
      <c r="CA6" s="50">
        <f>IF(AND(CA$5&gt;$C6,CA$5-1&lt;$D6),1,"")</f>
        <v/>
      </c>
      <c r="CB6" s="50">
        <f>IF(AND(CB$5&gt;$C6,CB$5-1&lt;$D6),1,"")</f>
        <v/>
      </c>
      <c r="CC6" s="50">
        <f>IF(AND(CC$5&gt;$C6,CC$5-1&lt;$D6),1,"")</f>
        <v/>
      </c>
      <c r="CD6" s="50">
        <f>IF(AND(CD$5&gt;$C6,CD$5-1&lt;$D6),1,"")</f>
        <v/>
      </c>
      <c r="CE6" s="50">
        <f>IF(AND(CE$5&gt;$C6,CE$5-1&lt;$D6),1,"")</f>
        <v/>
      </c>
      <c r="CF6" s="50">
        <f>IF(AND(CF$5&gt;$C6,CF$5-1&lt;$D6),1,"")</f>
        <v/>
      </c>
      <c r="CG6" s="50">
        <f>IF(AND(CG$5&gt;$C6,CG$5-1&lt;$D6),1,"")</f>
        <v/>
      </c>
      <c r="CH6" s="50">
        <f>IF(AND(CH$5&gt;$C6,CH$5-1&lt;$D6),1,"")</f>
        <v/>
      </c>
      <c r="CI6" s="50">
        <f>IF(AND(CI$5&gt;$C6,CI$5-1&lt;$D6),1,"")</f>
        <v/>
      </c>
      <c r="CJ6" s="50">
        <f>IF(AND(CJ$5&gt;$C6,CJ$5-1&lt;$D6),1,"")</f>
        <v/>
      </c>
      <c r="CK6" s="50">
        <f>IF(AND(CK$5&gt;$C6,CK$5-1&lt;$D6),1,"")</f>
        <v/>
      </c>
      <c r="CL6" s="50">
        <f>IF(AND(CL$5&gt;$C6,CL$5-1&lt;$D6),1,"")</f>
        <v/>
      </c>
    </row>
    <row r="7">
      <c r="A7" s="28">
        <f>PERT!A10</f>
        <v/>
      </c>
      <c r="B7" s="22">
        <f>PERT!B10</f>
        <v/>
      </c>
      <c r="C7" s="49">
        <f>PERT!K10</f>
        <v/>
      </c>
      <c r="D7" s="49">
        <f>PERT!L10</f>
        <v/>
      </c>
      <c r="E7" s="28">
        <f>PERT!P10</f>
        <v/>
      </c>
      <c r="F7" s="50">
        <f>IF(AND(F$5&gt;$C7,F$5-1&lt;$D7),1,"")</f>
        <v/>
      </c>
      <c r="G7" s="50">
        <f>IF(AND(G$5&gt;$C7,G$5-1&lt;$D7),1,"")</f>
        <v/>
      </c>
      <c r="H7" s="50">
        <f>IF(AND(H$5&gt;$C7,H$5-1&lt;$D7),1,"")</f>
        <v/>
      </c>
      <c r="I7" s="50">
        <f>IF(AND(I$5&gt;$C7,I$5-1&lt;$D7),1,"")</f>
        <v/>
      </c>
      <c r="J7" s="50">
        <f>IF(AND(J$5&gt;$C7,J$5-1&lt;$D7),1,"")</f>
        <v/>
      </c>
      <c r="K7" s="50">
        <f>IF(AND(K$5&gt;$C7,K$5-1&lt;$D7),1,"")</f>
        <v/>
      </c>
      <c r="L7" s="50">
        <f>IF(AND(L$5&gt;$C7,L$5-1&lt;$D7),1,"")</f>
        <v/>
      </c>
      <c r="M7" s="50">
        <f>IF(AND(M$5&gt;$C7,M$5-1&lt;$D7),1,"")</f>
        <v/>
      </c>
      <c r="N7" s="50">
        <f>IF(AND(N$5&gt;$C7,N$5-1&lt;$D7),1,"")</f>
        <v/>
      </c>
      <c r="O7" s="50">
        <f>IF(AND(O$5&gt;$C7,O$5-1&lt;$D7),1,"")</f>
        <v/>
      </c>
      <c r="P7" s="50">
        <f>IF(AND(P$5&gt;$C7,P$5-1&lt;$D7),1,"")</f>
        <v/>
      </c>
      <c r="Q7" s="50">
        <f>IF(AND(Q$5&gt;$C7,Q$5-1&lt;$D7),1,"")</f>
        <v/>
      </c>
      <c r="R7" s="50">
        <f>IF(AND(R$5&gt;$C7,R$5-1&lt;$D7),1,"")</f>
        <v/>
      </c>
      <c r="S7" s="50">
        <f>IF(AND(S$5&gt;$C7,S$5-1&lt;$D7),1,"")</f>
        <v/>
      </c>
      <c r="T7" s="50">
        <f>IF(AND(T$5&gt;$C7,T$5-1&lt;$D7),1,"")</f>
        <v/>
      </c>
      <c r="U7" s="50">
        <f>IF(AND(U$5&gt;$C7,U$5-1&lt;$D7),1,"")</f>
        <v/>
      </c>
      <c r="V7" s="50">
        <f>IF(AND(V$5&gt;$C7,V$5-1&lt;$D7),1,"")</f>
        <v/>
      </c>
      <c r="W7" s="50">
        <f>IF(AND(W$5&gt;$C7,W$5-1&lt;$D7),1,"")</f>
        <v/>
      </c>
      <c r="X7" s="50">
        <f>IF(AND(X$5&gt;$C7,X$5-1&lt;$D7),1,"")</f>
        <v/>
      </c>
      <c r="Y7" s="50">
        <f>IF(AND(Y$5&gt;$C7,Y$5-1&lt;$D7),1,"")</f>
        <v/>
      </c>
      <c r="Z7" s="50">
        <f>IF(AND(Z$5&gt;$C7,Z$5-1&lt;$D7),1,"")</f>
        <v/>
      </c>
      <c r="AA7" s="50">
        <f>IF(AND(AA$5&gt;$C7,AA$5-1&lt;$D7),1,"")</f>
        <v/>
      </c>
      <c r="AB7" s="50">
        <f>IF(AND(AB$5&gt;$C7,AB$5-1&lt;$D7),1,"")</f>
        <v/>
      </c>
      <c r="AC7" s="50">
        <f>IF(AND(AC$5&gt;$C7,AC$5-1&lt;$D7),1,"")</f>
        <v/>
      </c>
      <c r="AD7" s="50">
        <f>IF(AND(AD$5&gt;$C7,AD$5-1&lt;$D7),1,"")</f>
        <v/>
      </c>
      <c r="AE7" s="50">
        <f>IF(AND(AE$5&gt;$C7,AE$5-1&lt;$D7),1,"")</f>
        <v/>
      </c>
      <c r="AF7" s="50">
        <f>IF(AND(AF$5&gt;$C7,AF$5-1&lt;$D7),1,"")</f>
        <v/>
      </c>
      <c r="AG7" s="50">
        <f>IF(AND(AG$5&gt;$C7,AG$5-1&lt;$D7),1,"")</f>
        <v/>
      </c>
      <c r="AH7" s="50">
        <f>IF(AND(AH$5&gt;$C7,AH$5-1&lt;$D7),1,"")</f>
        <v/>
      </c>
      <c r="AI7" s="50">
        <f>IF(AND(AI$5&gt;$C7,AI$5-1&lt;$D7),1,"")</f>
        <v/>
      </c>
      <c r="AJ7" s="50">
        <f>IF(AND(AJ$5&gt;$C7,AJ$5-1&lt;$D7),1,"")</f>
        <v/>
      </c>
      <c r="AK7" s="50">
        <f>IF(AND(AK$5&gt;$C7,AK$5-1&lt;$D7),1,"")</f>
        <v/>
      </c>
      <c r="AL7" s="50">
        <f>IF(AND(AL$5&gt;$C7,AL$5-1&lt;$D7),1,"")</f>
        <v/>
      </c>
      <c r="AM7" s="50">
        <f>IF(AND(AM$5&gt;$C7,AM$5-1&lt;$D7),1,"")</f>
        <v/>
      </c>
      <c r="AN7" s="50">
        <f>IF(AND(AN$5&gt;$C7,AN$5-1&lt;$D7),1,"")</f>
        <v/>
      </c>
      <c r="AO7" s="50">
        <f>IF(AND(AO$5&gt;$C7,AO$5-1&lt;$D7),1,"")</f>
        <v/>
      </c>
      <c r="AP7" s="50">
        <f>IF(AND(AP$5&gt;$C7,AP$5-1&lt;$D7),1,"")</f>
        <v/>
      </c>
      <c r="AQ7" s="50">
        <f>IF(AND(AQ$5&gt;$C7,AQ$5-1&lt;$D7),1,"")</f>
        <v/>
      </c>
      <c r="AR7" s="50">
        <f>IF(AND(AR$5&gt;$C7,AR$5-1&lt;$D7),1,"")</f>
        <v/>
      </c>
      <c r="AS7" s="50">
        <f>IF(AND(AS$5&gt;$C7,AS$5-1&lt;$D7),1,"")</f>
        <v/>
      </c>
      <c r="AT7" s="50">
        <f>IF(AND(AT$5&gt;$C7,AT$5-1&lt;$D7),1,"")</f>
        <v/>
      </c>
      <c r="AU7" s="50">
        <f>IF(AND(AU$5&gt;$C7,AU$5-1&lt;$D7),1,"")</f>
        <v/>
      </c>
      <c r="AV7" s="50">
        <f>IF(AND(AV$5&gt;$C7,AV$5-1&lt;$D7),1,"")</f>
        <v/>
      </c>
      <c r="AW7" s="50">
        <f>IF(AND(AW$5&gt;$C7,AW$5-1&lt;$D7),1,"")</f>
        <v/>
      </c>
      <c r="AX7" s="50">
        <f>IF(AND(AX$5&gt;$C7,AX$5-1&lt;$D7),1,"")</f>
        <v/>
      </c>
      <c r="AY7" s="50">
        <f>IF(AND(AY$5&gt;$C7,AY$5-1&lt;$D7),1,"")</f>
        <v/>
      </c>
      <c r="AZ7" s="50">
        <f>IF(AND(AZ$5&gt;$C7,AZ$5-1&lt;$D7),1,"")</f>
        <v/>
      </c>
      <c r="BA7" s="50">
        <f>IF(AND(BA$5&gt;$C7,BA$5-1&lt;$D7),1,"")</f>
        <v/>
      </c>
      <c r="BB7" s="50">
        <f>IF(AND(BB$5&gt;$C7,BB$5-1&lt;$D7),1,"")</f>
        <v/>
      </c>
      <c r="BC7" s="50">
        <f>IF(AND(BC$5&gt;$C7,BC$5-1&lt;$D7),1,"")</f>
        <v/>
      </c>
      <c r="BD7" s="50">
        <f>IF(AND(BD$5&gt;$C7,BD$5-1&lt;$D7),1,"")</f>
        <v/>
      </c>
      <c r="BE7" s="50">
        <f>IF(AND(BE$5&gt;$C7,BE$5-1&lt;$D7),1,"")</f>
        <v/>
      </c>
      <c r="BF7" s="50">
        <f>IF(AND(BF$5&gt;$C7,BF$5-1&lt;$D7),1,"")</f>
        <v/>
      </c>
      <c r="BG7" s="50">
        <f>IF(AND(BG$5&gt;$C7,BG$5-1&lt;$D7),1,"")</f>
        <v/>
      </c>
      <c r="BH7" s="50">
        <f>IF(AND(BH$5&gt;$C7,BH$5-1&lt;$D7),1,"")</f>
        <v/>
      </c>
      <c r="BI7" s="50">
        <f>IF(AND(BI$5&gt;$C7,BI$5-1&lt;$D7),1,"")</f>
        <v/>
      </c>
      <c r="BJ7" s="50">
        <f>IF(AND(BJ$5&gt;$C7,BJ$5-1&lt;$D7),1,"")</f>
        <v/>
      </c>
      <c r="BK7" s="50">
        <f>IF(AND(BK$5&gt;$C7,BK$5-1&lt;$D7),1,"")</f>
        <v/>
      </c>
      <c r="BL7" s="50">
        <f>IF(AND(BL$5&gt;$C7,BL$5-1&lt;$D7),1,"")</f>
        <v/>
      </c>
      <c r="BM7" s="50">
        <f>IF(AND(BM$5&gt;$C7,BM$5-1&lt;$D7),1,"")</f>
        <v/>
      </c>
      <c r="BN7" s="50">
        <f>IF(AND(BN$5&gt;$C7,BN$5-1&lt;$D7),1,"")</f>
        <v/>
      </c>
      <c r="BO7" s="50">
        <f>IF(AND(BO$5&gt;$C7,BO$5-1&lt;$D7),1,"")</f>
        <v/>
      </c>
      <c r="BP7" s="50">
        <f>IF(AND(BP$5&gt;$C7,BP$5-1&lt;$D7),1,"")</f>
        <v/>
      </c>
      <c r="BQ7" s="50">
        <f>IF(AND(BQ$5&gt;$C7,BQ$5-1&lt;$D7),1,"")</f>
        <v/>
      </c>
      <c r="BR7" s="50">
        <f>IF(AND(BR$5&gt;$C7,BR$5-1&lt;$D7),1,"")</f>
        <v/>
      </c>
      <c r="BS7" s="50">
        <f>IF(AND(BS$5&gt;$C7,BS$5-1&lt;$D7),1,"")</f>
        <v/>
      </c>
      <c r="BT7" s="50">
        <f>IF(AND(BT$5&gt;$C7,BT$5-1&lt;$D7),1,"")</f>
        <v/>
      </c>
      <c r="BU7" s="50">
        <f>IF(AND(BU$5&gt;$C7,BU$5-1&lt;$D7),1,"")</f>
        <v/>
      </c>
      <c r="BV7" s="50">
        <f>IF(AND(BV$5&gt;$C7,BV$5-1&lt;$D7),1,"")</f>
        <v/>
      </c>
      <c r="BW7" s="50">
        <f>IF(AND(BW$5&gt;$C7,BW$5-1&lt;$D7),1,"")</f>
        <v/>
      </c>
      <c r="BX7" s="50">
        <f>IF(AND(BX$5&gt;$C7,BX$5-1&lt;$D7),1,"")</f>
        <v/>
      </c>
      <c r="BY7" s="50">
        <f>IF(AND(BY$5&gt;$C7,BY$5-1&lt;$D7),1,"")</f>
        <v/>
      </c>
      <c r="BZ7" s="50">
        <f>IF(AND(BZ$5&gt;$C7,BZ$5-1&lt;$D7),1,"")</f>
        <v/>
      </c>
      <c r="CA7" s="50">
        <f>IF(AND(CA$5&gt;$C7,CA$5-1&lt;$D7),1,"")</f>
        <v/>
      </c>
      <c r="CB7" s="50">
        <f>IF(AND(CB$5&gt;$C7,CB$5-1&lt;$D7),1,"")</f>
        <v/>
      </c>
      <c r="CC7" s="50">
        <f>IF(AND(CC$5&gt;$C7,CC$5-1&lt;$D7),1,"")</f>
        <v/>
      </c>
      <c r="CD7" s="50">
        <f>IF(AND(CD$5&gt;$C7,CD$5-1&lt;$D7),1,"")</f>
        <v/>
      </c>
      <c r="CE7" s="50">
        <f>IF(AND(CE$5&gt;$C7,CE$5-1&lt;$D7),1,"")</f>
        <v/>
      </c>
      <c r="CF7" s="50">
        <f>IF(AND(CF$5&gt;$C7,CF$5-1&lt;$D7),1,"")</f>
        <v/>
      </c>
      <c r="CG7" s="50">
        <f>IF(AND(CG$5&gt;$C7,CG$5-1&lt;$D7),1,"")</f>
        <v/>
      </c>
      <c r="CH7" s="50">
        <f>IF(AND(CH$5&gt;$C7,CH$5-1&lt;$D7),1,"")</f>
        <v/>
      </c>
      <c r="CI7" s="50">
        <f>IF(AND(CI$5&gt;$C7,CI$5-1&lt;$D7),1,"")</f>
        <v/>
      </c>
      <c r="CJ7" s="50">
        <f>IF(AND(CJ$5&gt;$C7,CJ$5-1&lt;$D7),1,"")</f>
        <v/>
      </c>
      <c r="CK7" s="50">
        <f>IF(AND(CK$5&gt;$C7,CK$5-1&lt;$D7),1,"")</f>
        <v/>
      </c>
      <c r="CL7" s="50">
        <f>IF(AND(CL$5&gt;$C7,CL$5-1&lt;$D7),1,"")</f>
        <v/>
      </c>
    </row>
    <row r="8">
      <c r="A8" s="28">
        <f>PERT!A11</f>
        <v/>
      </c>
      <c r="B8" s="22">
        <f>PERT!B11</f>
        <v/>
      </c>
      <c r="C8" s="49">
        <f>PERT!K11</f>
        <v/>
      </c>
      <c r="D8" s="49">
        <f>PERT!L11</f>
        <v/>
      </c>
      <c r="E8" s="28">
        <f>PERT!P11</f>
        <v/>
      </c>
      <c r="F8" s="50">
        <f>IF(AND(F$5&gt;$C8,F$5-1&lt;$D8),1,"")</f>
        <v/>
      </c>
      <c r="G8" s="50">
        <f>IF(AND(G$5&gt;$C8,G$5-1&lt;$D8),1,"")</f>
        <v/>
      </c>
      <c r="H8" s="50">
        <f>IF(AND(H$5&gt;$C8,H$5-1&lt;$D8),1,"")</f>
        <v/>
      </c>
      <c r="I8" s="50">
        <f>IF(AND(I$5&gt;$C8,I$5-1&lt;$D8),1,"")</f>
        <v/>
      </c>
      <c r="J8" s="50">
        <f>IF(AND(J$5&gt;$C8,J$5-1&lt;$D8),1,"")</f>
        <v/>
      </c>
      <c r="K8" s="50">
        <f>IF(AND(K$5&gt;$C8,K$5-1&lt;$D8),1,"")</f>
        <v/>
      </c>
      <c r="L8" s="50">
        <f>IF(AND(L$5&gt;$C8,L$5-1&lt;$D8),1,"")</f>
        <v/>
      </c>
      <c r="M8" s="50">
        <f>IF(AND(M$5&gt;$C8,M$5-1&lt;$D8),1,"")</f>
        <v/>
      </c>
      <c r="N8" s="50">
        <f>IF(AND(N$5&gt;$C8,N$5-1&lt;$D8),1,"")</f>
        <v/>
      </c>
      <c r="O8" s="50">
        <f>IF(AND(O$5&gt;$C8,O$5-1&lt;$D8),1,"")</f>
        <v/>
      </c>
      <c r="P8" s="50">
        <f>IF(AND(P$5&gt;$C8,P$5-1&lt;$D8),1,"")</f>
        <v/>
      </c>
      <c r="Q8" s="50">
        <f>IF(AND(Q$5&gt;$C8,Q$5-1&lt;$D8),1,"")</f>
        <v/>
      </c>
      <c r="R8" s="50">
        <f>IF(AND(R$5&gt;$C8,R$5-1&lt;$D8),1,"")</f>
        <v/>
      </c>
      <c r="S8" s="50">
        <f>IF(AND(S$5&gt;$C8,S$5-1&lt;$D8),1,"")</f>
        <v/>
      </c>
      <c r="T8" s="50">
        <f>IF(AND(T$5&gt;$C8,T$5-1&lt;$D8),1,"")</f>
        <v/>
      </c>
      <c r="U8" s="50">
        <f>IF(AND(U$5&gt;$C8,U$5-1&lt;$D8),1,"")</f>
        <v/>
      </c>
      <c r="V8" s="50">
        <f>IF(AND(V$5&gt;$C8,V$5-1&lt;$D8),1,"")</f>
        <v/>
      </c>
      <c r="W8" s="50">
        <f>IF(AND(W$5&gt;$C8,W$5-1&lt;$D8),1,"")</f>
        <v/>
      </c>
      <c r="X8" s="50">
        <f>IF(AND(X$5&gt;$C8,X$5-1&lt;$D8),1,"")</f>
        <v/>
      </c>
      <c r="Y8" s="50">
        <f>IF(AND(Y$5&gt;$C8,Y$5-1&lt;$D8),1,"")</f>
        <v/>
      </c>
      <c r="Z8" s="50">
        <f>IF(AND(Z$5&gt;$C8,Z$5-1&lt;$D8),1,"")</f>
        <v/>
      </c>
      <c r="AA8" s="50">
        <f>IF(AND(AA$5&gt;$C8,AA$5-1&lt;$D8),1,"")</f>
        <v/>
      </c>
      <c r="AB8" s="50">
        <f>IF(AND(AB$5&gt;$C8,AB$5-1&lt;$D8),1,"")</f>
        <v/>
      </c>
      <c r="AC8" s="50">
        <f>IF(AND(AC$5&gt;$C8,AC$5-1&lt;$D8),1,"")</f>
        <v/>
      </c>
      <c r="AD8" s="50">
        <f>IF(AND(AD$5&gt;$C8,AD$5-1&lt;$D8),1,"")</f>
        <v/>
      </c>
      <c r="AE8" s="50">
        <f>IF(AND(AE$5&gt;$C8,AE$5-1&lt;$D8),1,"")</f>
        <v/>
      </c>
      <c r="AF8" s="50">
        <f>IF(AND(AF$5&gt;$C8,AF$5-1&lt;$D8),1,"")</f>
        <v/>
      </c>
      <c r="AG8" s="50">
        <f>IF(AND(AG$5&gt;$C8,AG$5-1&lt;$D8),1,"")</f>
        <v/>
      </c>
      <c r="AH8" s="50">
        <f>IF(AND(AH$5&gt;$C8,AH$5-1&lt;$D8),1,"")</f>
        <v/>
      </c>
      <c r="AI8" s="50">
        <f>IF(AND(AI$5&gt;$C8,AI$5-1&lt;$D8),1,"")</f>
        <v/>
      </c>
      <c r="AJ8" s="50">
        <f>IF(AND(AJ$5&gt;$C8,AJ$5-1&lt;$D8),1,"")</f>
        <v/>
      </c>
      <c r="AK8" s="50">
        <f>IF(AND(AK$5&gt;$C8,AK$5-1&lt;$D8),1,"")</f>
        <v/>
      </c>
      <c r="AL8" s="50">
        <f>IF(AND(AL$5&gt;$C8,AL$5-1&lt;$D8),1,"")</f>
        <v/>
      </c>
      <c r="AM8" s="50">
        <f>IF(AND(AM$5&gt;$C8,AM$5-1&lt;$D8),1,"")</f>
        <v/>
      </c>
      <c r="AN8" s="50">
        <f>IF(AND(AN$5&gt;$C8,AN$5-1&lt;$D8),1,"")</f>
        <v/>
      </c>
      <c r="AO8" s="50">
        <f>IF(AND(AO$5&gt;$C8,AO$5-1&lt;$D8),1,"")</f>
        <v/>
      </c>
      <c r="AP8" s="50">
        <f>IF(AND(AP$5&gt;$C8,AP$5-1&lt;$D8),1,"")</f>
        <v/>
      </c>
      <c r="AQ8" s="50">
        <f>IF(AND(AQ$5&gt;$C8,AQ$5-1&lt;$D8),1,"")</f>
        <v/>
      </c>
      <c r="AR8" s="50">
        <f>IF(AND(AR$5&gt;$C8,AR$5-1&lt;$D8),1,"")</f>
        <v/>
      </c>
      <c r="AS8" s="50">
        <f>IF(AND(AS$5&gt;$C8,AS$5-1&lt;$D8),1,"")</f>
        <v/>
      </c>
      <c r="AT8" s="50">
        <f>IF(AND(AT$5&gt;$C8,AT$5-1&lt;$D8),1,"")</f>
        <v/>
      </c>
      <c r="AU8" s="50">
        <f>IF(AND(AU$5&gt;$C8,AU$5-1&lt;$D8),1,"")</f>
        <v/>
      </c>
      <c r="AV8" s="50">
        <f>IF(AND(AV$5&gt;$C8,AV$5-1&lt;$D8),1,"")</f>
        <v/>
      </c>
      <c r="AW8" s="50">
        <f>IF(AND(AW$5&gt;$C8,AW$5-1&lt;$D8),1,"")</f>
        <v/>
      </c>
      <c r="AX8" s="50">
        <f>IF(AND(AX$5&gt;$C8,AX$5-1&lt;$D8),1,"")</f>
        <v/>
      </c>
      <c r="AY8" s="50">
        <f>IF(AND(AY$5&gt;$C8,AY$5-1&lt;$D8),1,"")</f>
        <v/>
      </c>
      <c r="AZ8" s="50">
        <f>IF(AND(AZ$5&gt;$C8,AZ$5-1&lt;$D8),1,"")</f>
        <v/>
      </c>
      <c r="BA8" s="50">
        <f>IF(AND(BA$5&gt;$C8,BA$5-1&lt;$D8),1,"")</f>
        <v/>
      </c>
      <c r="BB8" s="50">
        <f>IF(AND(BB$5&gt;$C8,BB$5-1&lt;$D8),1,"")</f>
        <v/>
      </c>
      <c r="BC8" s="50">
        <f>IF(AND(BC$5&gt;$C8,BC$5-1&lt;$D8),1,"")</f>
        <v/>
      </c>
      <c r="BD8" s="50">
        <f>IF(AND(BD$5&gt;$C8,BD$5-1&lt;$D8),1,"")</f>
        <v/>
      </c>
      <c r="BE8" s="50">
        <f>IF(AND(BE$5&gt;$C8,BE$5-1&lt;$D8),1,"")</f>
        <v/>
      </c>
      <c r="BF8" s="50">
        <f>IF(AND(BF$5&gt;$C8,BF$5-1&lt;$D8),1,"")</f>
        <v/>
      </c>
      <c r="BG8" s="50">
        <f>IF(AND(BG$5&gt;$C8,BG$5-1&lt;$D8),1,"")</f>
        <v/>
      </c>
      <c r="BH8" s="50">
        <f>IF(AND(BH$5&gt;$C8,BH$5-1&lt;$D8),1,"")</f>
        <v/>
      </c>
      <c r="BI8" s="50">
        <f>IF(AND(BI$5&gt;$C8,BI$5-1&lt;$D8),1,"")</f>
        <v/>
      </c>
      <c r="BJ8" s="50">
        <f>IF(AND(BJ$5&gt;$C8,BJ$5-1&lt;$D8),1,"")</f>
        <v/>
      </c>
      <c r="BK8" s="50">
        <f>IF(AND(BK$5&gt;$C8,BK$5-1&lt;$D8),1,"")</f>
        <v/>
      </c>
      <c r="BL8" s="50">
        <f>IF(AND(BL$5&gt;$C8,BL$5-1&lt;$D8),1,"")</f>
        <v/>
      </c>
      <c r="BM8" s="50">
        <f>IF(AND(BM$5&gt;$C8,BM$5-1&lt;$D8),1,"")</f>
        <v/>
      </c>
      <c r="BN8" s="50">
        <f>IF(AND(BN$5&gt;$C8,BN$5-1&lt;$D8),1,"")</f>
        <v/>
      </c>
      <c r="BO8" s="50">
        <f>IF(AND(BO$5&gt;$C8,BO$5-1&lt;$D8),1,"")</f>
        <v/>
      </c>
      <c r="BP8" s="50">
        <f>IF(AND(BP$5&gt;$C8,BP$5-1&lt;$D8),1,"")</f>
        <v/>
      </c>
      <c r="BQ8" s="50">
        <f>IF(AND(BQ$5&gt;$C8,BQ$5-1&lt;$D8),1,"")</f>
        <v/>
      </c>
      <c r="BR8" s="50">
        <f>IF(AND(BR$5&gt;$C8,BR$5-1&lt;$D8),1,"")</f>
        <v/>
      </c>
      <c r="BS8" s="50">
        <f>IF(AND(BS$5&gt;$C8,BS$5-1&lt;$D8),1,"")</f>
        <v/>
      </c>
      <c r="BT8" s="50">
        <f>IF(AND(BT$5&gt;$C8,BT$5-1&lt;$D8),1,"")</f>
        <v/>
      </c>
      <c r="BU8" s="50">
        <f>IF(AND(BU$5&gt;$C8,BU$5-1&lt;$D8),1,"")</f>
        <v/>
      </c>
      <c r="BV8" s="50">
        <f>IF(AND(BV$5&gt;$C8,BV$5-1&lt;$D8),1,"")</f>
        <v/>
      </c>
      <c r="BW8" s="50">
        <f>IF(AND(BW$5&gt;$C8,BW$5-1&lt;$D8),1,"")</f>
        <v/>
      </c>
      <c r="BX8" s="50">
        <f>IF(AND(BX$5&gt;$C8,BX$5-1&lt;$D8),1,"")</f>
        <v/>
      </c>
      <c r="BY8" s="50">
        <f>IF(AND(BY$5&gt;$C8,BY$5-1&lt;$D8),1,"")</f>
        <v/>
      </c>
      <c r="BZ8" s="50">
        <f>IF(AND(BZ$5&gt;$C8,BZ$5-1&lt;$D8),1,"")</f>
        <v/>
      </c>
      <c r="CA8" s="50">
        <f>IF(AND(CA$5&gt;$C8,CA$5-1&lt;$D8),1,"")</f>
        <v/>
      </c>
      <c r="CB8" s="50">
        <f>IF(AND(CB$5&gt;$C8,CB$5-1&lt;$D8),1,"")</f>
        <v/>
      </c>
      <c r="CC8" s="50">
        <f>IF(AND(CC$5&gt;$C8,CC$5-1&lt;$D8),1,"")</f>
        <v/>
      </c>
      <c r="CD8" s="50">
        <f>IF(AND(CD$5&gt;$C8,CD$5-1&lt;$D8),1,"")</f>
        <v/>
      </c>
      <c r="CE8" s="50">
        <f>IF(AND(CE$5&gt;$C8,CE$5-1&lt;$D8),1,"")</f>
        <v/>
      </c>
      <c r="CF8" s="50">
        <f>IF(AND(CF$5&gt;$C8,CF$5-1&lt;$D8),1,"")</f>
        <v/>
      </c>
      <c r="CG8" s="50">
        <f>IF(AND(CG$5&gt;$C8,CG$5-1&lt;$D8),1,"")</f>
        <v/>
      </c>
      <c r="CH8" s="50">
        <f>IF(AND(CH$5&gt;$C8,CH$5-1&lt;$D8),1,"")</f>
        <v/>
      </c>
      <c r="CI8" s="50">
        <f>IF(AND(CI$5&gt;$C8,CI$5-1&lt;$D8),1,"")</f>
        <v/>
      </c>
      <c r="CJ8" s="50">
        <f>IF(AND(CJ$5&gt;$C8,CJ$5-1&lt;$D8),1,"")</f>
        <v/>
      </c>
      <c r="CK8" s="50">
        <f>IF(AND(CK$5&gt;$C8,CK$5-1&lt;$D8),1,"")</f>
        <v/>
      </c>
      <c r="CL8" s="50">
        <f>IF(AND(CL$5&gt;$C8,CL$5-1&lt;$D8),1,"")</f>
        <v/>
      </c>
    </row>
    <row r="9">
      <c r="A9" s="28">
        <f>PERT!A12</f>
        <v/>
      </c>
      <c r="B9" s="22">
        <f>PERT!B12</f>
        <v/>
      </c>
      <c r="C9" s="49">
        <f>PERT!K12</f>
        <v/>
      </c>
      <c r="D9" s="49">
        <f>PERT!L12</f>
        <v/>
      </c>
      <c r="E9" s="28">
        <f>PERT!P12</f>
        <v/>
      </c>
      <c r="F9" s="50">
        <f>IF(AND(F$5&gt;$C9,F$5-1&lt;$D9),1,"")</f>
        <v/>
      </c>
      <c r="G9" s="50">
        <f>IF(AND(G$5&gt;$C9,G$5-1&lt;$D9),1,"")</f>
        <v/>
      </c>
      <c r="H9" s="50">
        <f>IF(AND(H$5&gt;$C9,H$5-1&lt;$D9),1,"")</f>
        <v/>
      </c>
      <c r="I9" s="50">
        <f>IF(AND(I$5&gt;$C9,I$5-1&lt;$D9),1,"")</f>
        <v/>
      </c>
      <c r="J9" s="50">
        <f>IF(AND(J$5&gt;$C9,J$5-1&lt;$D9),1,"")</f>
        <v/>
      </c>
      <c r="K9" s="50">
        <f>IF(AND(K$5&gt;$C9,K$5-1&lt;$D9),1,"")</f>
        <v/>
      </c>
      <c r="L9" s="50">
        <f>IF(AND(L$5&gt;$C9,L$5-1&lt;$D9),1,"")</f>
        <v/>
      </c>
      <c r="M9" s="50">
        <f>IF(AND(M$5&gt;$C9,M$5-1&lt;$D9),1,"")</f>
        <v/>
      </c>
      <c r="N9" s="50">
        <f>IF(AND(N$5&gt;$C9,N$5-1&lt;$D9),1,"")</f>
        <v/>
      </c>
      <c r="O9" s="50">
        <f>IF(AND(O$5&gt;$C9,O$5-1&lt;$D9),1,"")</f>
        <v/>
      </c>
      <c r="P9" s="50">
        <f>IF(AND(P$5&gt;$C9,P$5-1&lt;$D9),1,"")</f>
        <v/>
      </c>
      <c r="Q9" s="50">
        <f>IF(AND(Q$5&gt;$C9,Q$5-1&lt;$D9),1,"")</f>
        <v/>
      </c>
      <c r="R9" s="50">
        <f>IF(AND(R$5&gt;$C9,R$5-1&lt;$D9),1,"")</f>
        <v/>
      </c>
      <c r="S9" s="50">
        <f>IF(AND(S$5&gt;$C9,S$5-1&lt;$D9),1,"")</f>
        <v/>
      </c>
      <c r="T9" s="50">
        <f>IF(AND(T$5&gt;$C9,T$5-1&lt;$D9),1,"")</f>
        <v/>
      </c>
      <c r="U9" s="50">
        <f>IF(AND(U$5&gt;$C9,U$5-1&lt;$D9),1,"")</f>
        <v/>
      </c>
      <c r="V9" s="50">
        <f>IF(AND(V$5&gt;$C9,V$5-1&lt;$D9),1,"")</f>
        <v/>
      </c>
      <c r="W9" s="50">
        <f>IF(AND(W$5&gt;$C9,W$5-1&lt;$D9),1,"")</f>
        <v/>
      </c>
      <c r="X9" s="50">
        <f>IF(AND(X$5&gt;$C9,X$5-1&lt;$D9),1,"")</f>
        <v/>
      </c>
      <c r="Y9" s="50">
        <f>IF(AND(Y$5&gt;$C9,Y$5-1&lt;$D9),1,"")</f>
        <v/>
      </c>
      <c r="Z9" s="50">
        <f>IF(AND(Z$5&gt;$C9,Z$5-1&lt;$D9),1,"")</f>
        <v/>
      </c>
      <c r="AA9" s="50">
        <f>IF(AND(AA$5&gt;$C9,AA$5-1&lt;$D9),1,"")</f>
        <v/>
      </c>
      <c r="AB9" s="50">
        <f>IF(AND(AB$5&gt;$C9,AB$5-1&lt;$D9),1,"")</f>
        <v/>
      </c>
      <c r="AC9" s="50">
        <f>IF(AND(AC$5&gt;$C9,AC$5-1&lt;$D9),1,"")</f>
        <v/>
      </c>
      <c r="AD9" s="50">
        <f>IF(AND(AD$5&gt;$C9,AD$5-1&lt;$D9),1,"")</f>
        <v/>
      </c>
      <c r="AE9" s="50">
        <f>IF(AND(AE$5&gt;$C9,AE$5-1&lt;$D9),1,"")</f>
        <v/>
      </c>
      <c r="AF9" s="50">
        <f>IF(AND(AF$5&gt;$C9,AF$5-1&lt;$D9),1,"")</f>
        <v/>
      </c>
      <c r="AG9" s="50">
        <f>IF(AND(AG$5&gt;$C9,AG$5-1&lt;$D9),1,"")</f>
        <v/>
      </c>
      <c r="AH9" s="50">
        <f>IF(AND(AH$5&gt;$C9,AH$5-1&lt;$D9),1,"")</f>
        <v/>
      </c>
      <c r="AI9" s="50">
        <f>IF(AND(AI$5&gt;$C9,AI$5-1&lt;$D9),1,"")</f>
        <v/>
      </c>
      <c r="AJ9" s="50">
        <f>IF(AND(AJ$5&gt;$C9,AJ$5-1&lt;$D9),1,"")</f>
        <v/>
      </c>
      <c r="AK9" s="50">
        <f>IF(AND(AK$5&gt;$C9,AK$5-1&lt;$D9),1,"")</f>
        <v/>
      </c>
      <c r="AL9" s="50">
        <f>IF(AND(AL$5&gt;$C9,AL$5-1&lt;$D9),1,"")</f>
        <v/>
      </c>
      <c r="AM9" s="50">
        <f>IF(AND(AM$5&gt;$C9,AM$5-1&lt;$D9),1,"")</f>
        <v/>
      </c>
      <c r="AN9" s="50">
        <f>IF(AND(AN$5&gt;$C9,AN$5-1&lt;$D9),1,"")</f>
        <v/>
      </c>
      <c r="AO9" s="50">
        <f>IF(AND(AO$5&gt;$C9,AO$5-1&lt;$D9),1,"")</f>
        <v/>
      </c>
      <c r="AP9" s="50">
        <f>IF(AND(AP$5&gt;$C9,AP$5-1&lt;$D9),1,"")</f>
        <v/>
      </c>
      <c r="AQ9" s="50">
        <f>IF(AND(AQ$5&gt;$C9,AQ$5-1&lt;$D9),1,"")</f>
        <v/>
      </c>
      <c r="AR9" s="50">
        <f>IF(AND(AR$5&gt;$C9,AR$5-1&lt;$D9),1,"")</f>
        <v/>
      </c>
      <c r="AS9" s="50">
        <f>IF(AND(AS$5&gt;$C9,AS$5-1&lt;$D9),1,"")</f>
        <v/>
      </c>
      <c r="AT9" s="50">
        <f>IF(AND(AT$5&gt;$C9,AT$5-1&lt;$D9),1,"")</f>
        <v/>
      </c>
      <c r="AU9" s="50">
        <f>IF(AND(AU$5&gt;$C9,AU$5-1&lt;$D9),1,"")</f>
        <v/>
      </c>
      <c r="AV9" s="50">
        <f>IF(AND(AV$5&gt;$C9,AV$5-1&lt;$D9),1,"")</f>
        <v/>
      </c>
      <c r="AW9" s="50">
        <f>IF(AND(AW$5&gt;$C9,AW$5-1&lt;$D9),1,"")</f>
        <v/>
      </c>
      <c r="AX9" s="50">
        <f>IF(AND(AX$5&gt;$C9,AX$5-1&lt;$D9),1,"")</f>
        <v/>
      </c>
      <c r="AY9" s="50">
        <f>IF(AND(AY$5&gt;$C9,AY$5-1&lt;$D9),1,"")</f>
        <v/>
      </c>
      <c r="AZ9" s="50">
        <f>IF(AND(AZ$5&gt;$C9,AZ$5-1&lt;$D9),1,"")</f>
        <v/>
      </c>
      <c r="BA9" s="50">
        <f>IF(AND(BA$5&gt;$C9,BA$5-1&lt;$D9),1,"")</f>
        <v/>
      </c>
      <c r="BB9" s="50">
        <f>IF(AND(BB$5&gt;$C9,BB$5-1&lt;$D9),1,"")</f>
        <v/>
      </c>
      <c r="BC9" s="50">
        <f>IF(AND(BC$5&gt;$C9,BC$5-1&lt;$D9),1,"")</f>
        <v/>
      </c>
      <c r="BD9" s="50">
        <f>IF(AND(BD$5&gt;$C9,BD$5-1&lt;$D9),1,"")</f>
        <v/>
      </c>
      <c r="BE9" s="50">
        <f>IF(AND(BE$5&gt;$C9,BE$5-1&lt;$D9),1,"")</f>
        <v/>
      </c>
      <c r="BF9" s="50">
        <f>IF(AND(BF$5&gt;$C9,BF$5-1&lt;$D9),1,"")</f>
        <v/>
      </c>
      <c r="BG9" s="50">
        <f>IF(AND(BG$5&gt;$C9,BG$5-1&lt;$D9),1,"")</f>
        <v/>
      </c>
      <c r="BH9" s="50">
        <f>IF(AND(BH$5&gt;$C9,BH$5-1&lt;$D9),1,"")</f>
        <v/>
      </c>
      <c r="BI9" s="50">
        <f>IF(AND(BI$5&gt;$C9,BI$5-1&lt;$D9),1,"")</f>
        <v/>
      </c>
      <c r="BJ9" s="50">
        <f>IF(AND(BJ$5&gt;$C9,BJ$5-1&lt;$D9),1,"")</f>
        <v/>
      </c>
      <c r="BK9" s="50">
        <f>IF(AND(BK$5&gt;$C9,BK$5-1&lt;$D9),1,"")</f>
        <v/>
      </c>
      <c r="BL9" s="50">
        <f>IF(AND(BL$5&gt;$C9,BL$5-1&lt;$D9),1,"")</f>
        <v/>
      </c>
      <c r="BM9" s="50">
        <f>IF(AND(BM$5&gt;$C9,BM$5-1&lt;$D9),1,"")</f>
        <v/>
      </c>
      <c r="BN9" s="50">
        <f>IF(AND(BN$5&gt;$C9,BN$5-1&lt;$D9),1,"")</f>
        <v/>
      </c>
      <c r="BO9" s="50">
        <f>IF(AND(BO$5&gt;$C9,BO$5-1&lt;$D9),1,"")</f>
        <v/>
      </c>
      <c r="BP9" s="50">
        <f>IF(AND(BP$5&gt;$C9,BP$5-1&lt;$D9),1,"")</f>
        <v/>
      </c>
      <c r="BQ9" s="50">
        <f>IF(AND(BQ$5&gt;$C9,BQ$5-1&lt;$D9),1,"")</f>
        <v/>
      </c>
      <c r="BR9" s="50">
        <f>IF(AND(BR$5&gt;$C9,BR$5-1&lt;$D9),1,"")</f>
        <v/>
      </c>
      <c r="BS9" s="50">
        <f>IF(AND(BS$5&gt;$C9,BS$5-1&lt;$D9),1,"")</f>
        <v/>
      </c>
      <c r="BT9" s="50">
        <f>IF(AND(BT$5&gt;$C9,BT$5-1&lt;$D9),1,"")</f>
        <v/>
      </c>
      <c r="BU9" s="50">
        <f>IF(AND(BU$5&gt;$C9,BU$5-1&lt;$D9),1,"")</f>
        <v/>
      </c>
      <c r="BV9" s="50">
        <f>IF(AND(BV$5&gt;$C9,BV$5-1&lt;$D9),1,"")</f>
        <v/>
      </c>
      <c r="BW9" s="50">
        <f>IF(AND(BW$5&gt;$C9,BW$5-1&lt;$D9),1,"")</f>
        <v/>
      </c>
      <c r="BX9" s="50">
        <f>IF(AND(BX$5&gt;$C9,BX$5-1&lt;$D9),1,"")</f>
        <v/>
      </c>
      <c r="BY9" s="50">
        <f>IF(AND(BY$5&gt;$C9,BY$5-1&lt;$D9),1,"")</f>
        <v/>
      </c>
      <c r="BZ9" s="50">
        <f>IF(AND(BZ$5&gt;$C9,BZ$5-1&lt;$D9),1,"")</f>
        <v/>
      </c>
      <c r="CA9" s="50">
        <f>IF(AND(CA$5&gt;$C9,CA$5-1&lt;$D9),1,"")</f>
        <v/>
      </c>
      <c r="CB9" s="50">
        <f>IF(AND(CB$5&gt;$C9,CB$5-1&lt;$D9),1,"")</f>
        <v/>
      </c>
      <c r="CC9" s="50">
        <f>IF(AND(CC$5&gt;$C9,CC$5-1&lt;$D9),1,"")</f>
        <v/>
      </c>
      <c r="CD9" s="50">
        <f>IF(AND(CD$5&gt;$C9,CD$5-1&lt;$D9),1,"")</f>
        <v/>
      </c>
      <c r="CE9" s="50">
        <f>IF(AND(CE$5&gt;$C9,CE$5-1&lt;$D9),1,"")</f>
        <v/>
      </c>
      <c r="CF9" s="50">
        <f>IF(AND(CF$5&gt;$C9,CF$5-1&lt;$D9),1,"")</f>
        <v/>
      </c>
      <c r="CG9" s="50">
        <f>IF(AND(CG$5&gt;$C9,CG$5-1&lt;$D9),1,"")</f>
        <v/>
      </c>
      <c r="CH9" s="50">
        <f>IF(AND(CH$5&gt;$C9,CH$5-1&lt;$D9),1,"")</f>
        <v/>
      </c>
      <c r="CI9" s="50">
        <f>IF(AND(CI$5&gt;$C9,CI$5-1&lt;$D9),1,"")</f>
        <v/>
      </c>
      <c r="CJ9" s="50">
        <f>IF(AND(CJ$5&gt;$C9,CJ$5-1&lt;$D9),1,"")</f>
        <v/>
      </c>
      <c r="CK9" s="50">
        <f>IF(AND(CK$5&gt;$C9,CK$5-1&lt;$D9),1,"")</f>
        <v/>
      </c>
      <c r="CL9" s="50">
        <f>IF(AND(CL$5&gt;$C9,CL$5-1&lt;$D9),1,"")</f>
        <v/>
      </c>
    </row>
    <row r="10">
      <c r="A10" s="28">
        <f>PERT!A13</f>
        <v/>
      </c>
      <c r="B10" s="22">
        <f>PERT!B13</f>
        <v/>
      </c>
      <c r="C10" s="49">
        <f>PERT!K13</f>
        <v/>
      </c>
      <c r="D10" s="49">
        <f>PERT!L13</f>
        <v/>
      </c>
      <c r="E10" s="28">
        <f>PERT!P13</f>
        <v/>
      </c>
      <c r="F10" s="50">
        <f>IF(AND(F$5&gt;$C10,F$5-1&lt;$D10),1,"")</f>
        <v/>
      </c>
      <c r="G10" s="50">
        <f>IF(AND(G$5&gt;$C10,G$5-1&lt;$D10),1,"")</f>
        <v/>
      </c>
      <c r="H10" s="50">
        <f>IF(AND(H$5&gt;$C10,H$5-1&lt;$D10),1,"")</f>
        <v/>
      </c>
      <c r="I10" s="50">
        <f>IF(AND(I$5&gt;$C10,I$5-1&lt;$D10),1,"")</f>
        <v/>
      </c>
      <c r="J10" s="50">
        <f>IF(AND(J$5&gt;$C10,J$5-1&lt;$D10),1,"")</f>
        <v/>
      </c>
      <c r="K10" s="50">
        <f>IF(AND(K$5&gt;$C10,K$5-1&lt;$D10),1,"")</f>
        <v/>
      </c>
      <c r="L10" s="50">
        <f>IF(AND(L$5&gt;$C10,L$5-1&lt;$D10),1,"")</f>
        <v/>
      </c>
      <c r="M10" s="50">
        <f>IF(AND(M$5&gt;$C10,M$5-1&lt;$D10),1,"")</f>
        <v/>
      </c>
      <c r="N10" s="50">
        <f>IF(AND(N$5&gt;$C10,N$5-1&lt;$D10),1,"")</f>
        <v/>
      </c>
      <c r="O10" s="50">
        <f>IF(AND(O$5&gt;$C10,O$5-1&lt;$D10),1,"")</f>
        <v/>
      </c>
      <c r="P10" s="50">
        <f>IF(AND(P$5&gt;$C10,P$5-1&lt;$D10),1,"")</f>
        <v/>
      </c>
      <c r="Q10" s="50">
        <f>IF(AND(Q$5&gt;$C10,Q$5-1&lt;$D10),1,"")</f>
        <v/>
      </c>
      <c r="R10" s="50">
        <f>IF(AND(R$5&gt;$C10,R$5-1&lt;$D10),1,"")</f>
        <v/>
      </c>
      <c r="S10" s="50">
        <f>IF(AND(S$5&gt;$C10,S$5-1&lt;$D10),1,"")</f>
        <v/>
      </c>
      <c r="T10" s="50">
        <f>IF(AND(T$5&gt;$C10,T$5-1&lt;$D10),1,"")</f>
        <v/>
      </c>
      <c r="U10" s="50">
        <f>IF(AND(U$5&gt;$C10,U$5-1&lt;$D10),1,"")</f>
        <v/>
      </c>
      <c r="V10" s="50">
        <f>IF(AND(V$5&gt;$C10,V$5-1&lt;$D10),1,"")</f>
        <v/>
      </c>
      <c r="W10" s="50">
        <f>IF(AND(W$5&gt;$C10,W$5-1&lt;$D10),1,"")</f>
        <v/>
      </c>
      <c r="X10" s="50">
        <f>IF(AND(X$5&gt;$C10,X$5-1&lt;$D10),1,"")</f>
        <v/>
      </c>
      <c r="Y10" s="50">
        <f>IF(AND(Y$5&gt;$C10,Y$5-1&lt;$D10),1,"")</f>
        <v/>
      </c>
      <c r="Z10" s="50">
        <f>IF(AND(Z$5&gt;$C10,Z$5-1&lt;$D10),1,"")</f>
        <v/>
      </c>
      <c r="AA10" s="50">
        <f>IF(AND(AA$5&gt;$C10,AA$5-1&lt;$D10),1,"")</f>
        <v/>
      </c>
      <c r="AB10" s="50">
        <f>IF(AND(AB$5&gt;$C10,AB$5-1&lt;$D10),1,"")</f>
        <v/>
      </c>
      <c r="AC10" s="50">
        <f>IF(AND(AC$5&gt;$C10,AC$5-1&lt;$D10),1,"")</f>
        <v/>
      </c>
      <c r="AD10" s="50">
        <f>IF(AND(AD$5&gt;$C10,AD$5-1&lt;$D10),1,"")</f>
        <v/>
      </c>
      <c r="AE10" s="50">
        <f>IF(AND(AE$5&gt;$C10,AE$5-1&lt;$D10),1,"")</f>
        <v/>
      </c>
      <c r="AF10" s="50">
        <f>IF(AND(AF$5&gt;$C10,AF$5-1&lt;$D10),1,"")</f>
        <v/>
      </c>
      <c r="AG10" s="50">
        <f>IF(AND(AG$5&gt;$C10,AG$5-1&lt;$D10),1,"")</f>
        <v/>
      </c>
      <c r="AH10" s="50">
        <f>IF(AND(AH$5&gt;$C10,AH$5-1&lt;$D10),1,"")</f>
        <v/>
      </c>
      <c r="AI10" s="50">
        <f>IF(AND(AI$5&gt;$C10,AI$5-1&lt;$D10),1,"")</f>
        <v/>
      </c>
      <c r="AJ10" s="50">
        <f>IF(AND(AJ$5&gt;$C10,AJ$5-1&lt;$D10),1,"")</f>
        <v/>
      </c>
      <c r="AK10" s="50">
        <f>IF(AND(AK$5&gt;$C10,AK$5-1&lt;$D10),1,"")</f>
        <v/>
      </c>
      <c r="AL10" s="50">
        <f>IF(AND(AL$5&gt;$C10,AL$5-1&lt;$D10),1,"")</f>
        <v/>
      </c>
      <c r="AM10" s="50">
        <f>IF(AND(AM$5&gt;$C10,AM$5-1&lt;$D10),1,"")</f>
        <v/>
      </c>
      <c r="AN10" s="50">
        <f>IF(AND(AN$5&gt;$C10,AN$5-1&lt;$D10),1,"")</f>
        <v/>
      </c>
      <c r="AO10" s="50">
        <f>IF(AND(AO$5&gt;$C10,AO$5-1&lt;$D10),1,"")</f>
        <v/>
      </c>
      <c r="AP10" s="50">
        <f>IF(AND(AP$5&gt;$C10,AP$5-1&lt;$D10),1,"")</f>
        <v/>
      </c>
      <c r="AQ10" s="50">
        <f>IF(AND(AQ$5&gt;$C10,AQ$5-1&lt;$D10),1,"")</f>
        <v/>
      </c>
      <c r="AR10" s="50">
        <f>IF(AND(AR$5&gt;$C10,AR$5-1&lt;$D10),1,"")</f>
        <v/>
      </c>
      <c r="AS10" s="50">
        <f>IF(AND(AS$5&gt;$C10,AS$5-1&lt;$D10),1,"")</f>
        <v/>
      </c>
      <c r="AT10" s="50">
        <f>IF(AND(AT$5&gt;$C10,AT$5-1&lt;$D10),1,"")</f>
        <v/>
      </c>
      <c r="AU10" s="50">
        <f>IF(AND(AU$5&gt;$C10,AU$5-1&lt;$D10),1,"")</f>
        <v/>
      </c>
      <c r="AV10" s="50">
        <f>IF(AND(AV$5&gt;$C10,AV$5-1&lt;$D10),1,"")</f>
        <v/>
      </c>
      <c r="AW10" s="50">
        <f>IF(AND(AW$5&gt;$C10,AW$5-1&lt;$D10),1,"")</f>
        <v/>
      </c>
      <c r="AX10" s="50">
        <f>IF(AND(AX$5&gt;$C10,AX$5-1&lt;$D10),1,"")</f>
        <v/>
      </c>
      <c r="AY10" s="50">
        <f>IF(AND(AY$5&gt;$C10,AY$5-1&lt;$D10),1,"")</f>
        <v/>
      </c>
      <c r="AZ10" s="50">
        <f>IF(AND(AZ$5&gt;$C10,AZ$5-1&lt;$D10),1,"")</f>
        <v/>
      </c>
      <c r="BA10" s="50">
        <f>IF(AND(BA$5&gt;$C10,BA$5-1&lt;$D10),1,"")</f>
        <v/>
      </c>
      <c r="BB10" s="50">
        <f>IF(AND(BB$5&gt;$C10,BB$5-1&lt;$D10),1,"")</f>
        <v/>
      </c>
      <c r="BC10" s="50">
        <f>IF(AND(BC$5&gt;$C10,BC$5-1&lt;$D10),1,"")</f>
        <v/>
      </c>
      <c r="BD10" s="50">
        <f>IF(AND(BD$5&gt;$C10,BD$5-1&lt;$D10),1,"")</f>
        <v/>
      </c>
      <c r="BE10" s="50">
        <f>IF(AND(BE$5&gt;$C10,BE$5-1&lt;$D10),1,"")</f>
        <v/>
      </c>
      <c r="BF10" s="50">
        <f>IF(AND(BF$5&gt;$C10,BF$5-1&lt;$D10),1,"")</f>
        <v/>
      </c>
      <c r="BG10" s="50">
        <f>IF(AND(BG$5&gt;$C10,BG$5-1&lt;$D10),1,"")</f>
        <v/>
      </c>
      <c r="BH10" s="50">
        <f>IF(AND(BH$5&gt;$C10,BH$5-1&lt;$D10),1,"")</f>
        <v/>
      </c>
      <c r="BI10" s="50">
        <f>IF(AND(BI$5&gt;$C10,BI$5-1&lt;$D10),1,"")</f>
        <v/>
      </c>
      <c r="BJ10" s="50">
        <f>IF(AND(BJ$5&gt;$C10,BJ$5-1&lt;$D10),1,"")</f>
        <v/>
      </c>
      <c r="BK10" s="50">
        <f>IF(AND(BK$5&gt;$C10,BK$5-1&lt;$D10),1,"")</f>
        <v/>
      </c>
      <c r="BL10" s="50">
        <f>IF(AND(BL$5&gt;$C10,BL$5-1&lt;$D10),1,"")</f>
        <v/>
      </c>
      <c r="BM10" s="50">
        <f>IF(AND(BM$5&gt;$C10,BM$5-1&lt;$D10),1,"")</f>
        <v/>
      </c>
      <c r="BN10" s="50">
        <f>IF(AND(BN$5&gt;$C10,BN$5-1&lt;$D10),1,"")</f>
        <v/>
      </c>
      <c r="BO10" s="50">
        <f>IF(AND(BO$5&gt;$C10,BO$5-1&lt;$D10),1,"")</f>
        <v/>
      </c>
      <c r="BP10" s="50">
        <f>IF(AND(BP$5&gt;$C10,BP$5-1&lt;$D10),1,"")</f>
        <v/>
      </c>
      <c r="BQ10" s="50">
        <f>IF(AND(BQ$5&gt;$C10,BQ$5-1&lt;$D10),1,"")</f>
        <v/>
      </c>
      <c r="BR10" s="50">
        <f>IF(AND(BR$5&gt;$C10,BR$5-1&lt;$D10),1,"")</f>
        <v/>
      </c>
      <c r="BS10" s="50">
        <f>IF(AND(BS$5&gt;$C10,BS$5-1&lt;$D10),1,"")</f>
        <v/>
      </c>
      <c r="BT10" s="50">
        <f>IF(AND(BT$5&gt;$C10,BT$5-1&lt;$D10),1,"")</f>
        <v/>
      </c>
      <c r="BU10" s="50">
        <f>IF(AND(BU$5&gt;$C10,BU$5-1&lt;$D10),1,"")</f>
        <v/>
      </c>
      <c r="BV10" s="50">
        <f>IF(AND(BV$5&gt;$C10,BV$5-1&lt;$D10),1,"")</f>
        <v/>
      </c>
      <c r="BW10" s="50">
        <f>IF(AND(BW$5&gt;$C10,BW$5-1&lt;$D10),1,"")</f>
        <v/>
      </c>
      <c r="BX10" s="50">
        <f>IF(AND(BX$5&gt;$C10,BX$5-1&lt;$D10),1,"")</f>
        <v/>
      </c>
      <c r="BY10" s="50">
        <f>IF(AND(BY$5&gt;$C10,BY$5-1&lt;$D10),1,"")</f>
        <v/>
      </c>
      <c r="BZ10" s="50">
        <f>IF(AND(BZ$5&gt;$C10,BZ$5-1&lt;$D10),1,"")</f>
        <v/>
      </c>
      <c r="CA10" s="50">
        <f>IF(AND(CA$5&gt;$C10,CA$5-1&lt;$D10),1,"")</f>
        <v/>
      </c>
      <c r="CB10" s="50">
        <f>IF(AND(CB$5&gt;$C10,CB$5-1&lt;$D10),1,"")</f>
        <v/>
      </c>
      <c r="CC10" s="50">
        <f>IF(AND(CC$5&gt;$C10,CC$5-1&lt;$D10),1,"")</f>
        <v/>
      </c>
      <c r="CD10" s="50">
        <f>IF(AND(CD$5&gt;$C10,CD$5-1&lt;$D10),1,"")</f>
        <v/>
      </c>
      <c r="CE10" s="50">
        <f>IF(AND(CE$5&gt;$C10,CE$5-1&lt;$D10),1,"")</f>
        <v/>
      </c>
      <c r="CF10" s="50">
        <f>IF(AND(CF$5&gt;$C10,CF$5-1&lt;$D10),1,"")</f>
        <v/>
      </c>
      <c r="CG10" s="50">
        <f>IF(AND(CG$5&gt;$C10,CG$5-1&lt;$D10),1,"")</f>
        <v/>
      </c>
      <c r="CH10" s="50">
        <f>IF(AND(CH$5&gt;$C10,CH$5-1&lt;$D10),1,"")</f>
        <v/>
      </c>
      <c r="CI10" s="50">
        <f>IF(AND(CI$5&gt;$C10,CI$5-1&lt;$D10),1,"")</f>
        <v/>
      </c>
      <c r="CJ10" s="50">
        <f>IF(AND(CJ$5&gt;$C10,CJ$5-1&lt;$D10),1,"")</f>
        <v/>
      </c>
      <c r="CK10" s="50">
        <f>IF(AND(CK$5&gt;$C10,CK$5-1&lt;$D10),1,"")</f>
        <v/>
      </c>
      <c r="CL10" s="50">
        <f>IF(AND(CL$5&gt;$C10,CL$5-1&lt;$D10),1,"")</f>
        <v/>
      </c>
    </row>
    <row r="11">
      <c r="A11" s="28">
        <f>PERT!A14</f>
        <v/>
      </c>
      <c r="B11" s="22">
        <f>PERT!B14</f>
        <v/>
      </c>
      <c r="C11" s="49">
        <f>PERT!K14</f>
        <v/>
      </c>
      <c r="D11" s="49">
        <f>PERT!L14</f>
        <v/>
      </c>
      <c r="E11" s="28">
        <f>PERT!P14</f>
        <v/>
      </c>
      <c r="F11" s="50">
        <f>IF(AND(F$5&gt;$C11,F$5-1&lt;$D11),1,"")</f>
        <v/>
      </c>
      <c r="G11" s="50">
        <f>IF(AND(G$5&gt;$C11,G$5-1&lt;$D11),1,"")</f>
        <v/>
      </c>
      <c r="H11" s="50">
        <f>IF(AND(H$5&gt;$C11,H$5-1&lt;$D11),1,"")</f>
        <v/>
      </c>
      <c r="I11" s="50">
        <f>IF(AND(I$5&gt;$C11,I$5-1&lt;$D11),1,"")</f>
        <v/>
      </c>
      <c r="J11" s="50">
        <f>IF(AND(J$5&gt;$C11,J$5-1&lt;$D11),1,"")</f>
        <v/>
      </c>
      <c r="K11" s="50">
        <f>IF(AND(K$5&gt;$C11,K$5-1&lt;$D11),1,"")</f>
        <v/>
      </c>
      <c r="L11" s="50">
        <f>IF(AND(L$5&gt;$C11,L$5-1&lt;$D11),1,"")</f>
        <v/>
      </c>
      <c r="M11" s="50">
        <f>IF(AND(M$5&gt;$C11,M$5-1&lt;$D11),1,"")</f>
        <v/>
      </c>
      <c r="N11" s="50">
        <f>IF(AND(N$5&gt;$C11,N$5-1&lt;$D11),1,"")</f>
        <v/>
      </c>
      <c r="O11" s="50">
        <f>IF(AND(O$5&gt;$C11,O$5-1&lt;$D11),1,"")</f>
        <v/>
      </c>
      <c r="P11" s="50">
        <f>IF(AND(P$5&gt;$C11,P$5-1&lt;$D11),1,"")</f>
        <v/>
      </c>
      <c r="Q11" s="50">
        <f>IF(AND(Q$5&gt;$C11,Q$5-1&lt;$D11),1,"")</f>
        <v/>
      </c>
      <c r="R11" s="50">
        <f>IF(AND(R$5&gt;$C11,R$5-1&lt;$D11),1,"")</f>
        <v/>
      </c>
      <c r="S11" s="50">
        <f>IF(AND(S$5&gt;$C11,S$5-1&lt;$D11),1,"")</f>
        <v/>
      </c>
      <c r="T11" s="50">
        <f>IF(AND(T$5&gt;$C11,T$5-1&lt;$D11),1,"")</f>
        <v/>
      </c>
      <c r="U11" s="50">
        <f>IF(AND(U$5&gt;$C11,U$5-1&lt;$D11),1,"")</f>
        <v/>
      </c>
      <c r="V11" s="50">
        <f>IF(AND(V$5&gt;$C11,V$5-1&lt;$D11),1,"")</f>
        <v/>
      </c>
      <c r="W11" s="50">
        <f>IF(AND(W$5&gt;$C11,W$5-1&lt;$D11),1,"")</f>
        <v/>
      </c>
      <c r="X11" s="50">
        <f>IF(AND(X$5&gt;$C11,X$5-1&lt;$D11),1,"")</f>
        <v/>
      </c>
      <c r="Y11" s="50">
        <f>IF(AND(Y$5&gt;$C11,Y$5-1&lt;$D11),1,"")</f>
        <v/>
      </c>
      <c r="Z11" s="50">
        <f>IF(AND(Z$5&gt;$C11,Z$5-1&lt;$D11),1,"")</f>
        <v/>
      </c>
      <c r="AA11" s="50">
        <f>IF(AND(AA$5&gt;$C11,AA$5-1&lt;$D11),1,"")</f>
        <v/>
      </c>
      <c r="AB11" s="50">
        <f>IF(AND(AB$5&gt;$C11,AB$5-1&lt;$D11),1,"")</f>
        <v/>
      </c>
      <c r="AC11" s="50">
        <f>IF(AND(AC$5&gt;$C11,AC$5-1&lt;$D11),1,"")</f>
        <v/>
      </c>
      <c r="AD11" s="50">
        <f>IF(AND(AD$5&gt;$C11,AD$5-1&lt;$D11),1,"")</f>
        <v/>
      </c>
      <c r="AE11" s="50">
        <f>IF(AND(AE$5&gt;$C11,AE$5-1&lt;$D11),1,"")</f>
        <v/>
      </c>
      <c r="AF11" s="50">
        <f>IF(AND(AF$5&gt;$C11,AF$5-1&lt;$D11),1,"")</f>
        <v/>
      </c>
      <c r="AG11" s="50">
        <f>IF(AND(AG$5&gt;$C11,AG$5-1&lt;$D11),1,"")</f>
        <v/>
      </c>
      <c r="AH11" s="50">
        <f>IF(AND(AH$5&gt;$C11,AH$5-1&lt;$D11),1,"")</f>
        <v/>
      </c>
      <c r="AI11" s="50">
        <f>IF(AND(AI$5&gt;$C11,AI$5-1&lt;$D11),1,"")</f>
        <v/>
      </c>
      <c r="AJ11" s="50">
        <f>IF(AND(AJ$5&gt;$C11,AJ$5-1&lt;$D11),1,"")</f>
        <v/>
      </c>
      <c r="AK11" s="50">
        <f>IF(AND(AK$5&gt;$C11,AK$5-1&lt;$D11),1,"")</f>
        <v/>
      </c>
      <c r="AL11" s="50">
        <f>IF(AND(AL$5&gt;$C11,AL$5-1&lt;$D11),1,"")</f>
        <v/>
      </c>
      <c r="AM11" s="50">
        <f>IF(AND(AM$5&gt;$C11,AM$5-1&lt;$D11),1,"")</f>
        <v/>
      </c>
      <c r="AN11" s="50">
        <f>IF(AND(AN$5&gt;$C11,AN$5-1&lt;$D11),1,"")</f>
        <v/>
      </c>
      <c r="AO11" s="50">
        <f>IF(AND(AO$5&gt;$C11,AO$5-1&lt;$D11),1,"")</f>
        <v/>
      </c>
      <c r="AP11" s="50">
        <f>IF(AND(AP$5&gt;$C11,AP$5-1&lt;$D11),1,"")</f>
        <v/>
      </c>
      <c r="AQ11" s="50">
        <f>IF(AND(AQ$5&gt;$C11,AQ$5-1&lt;$D11),1,"")</f>
        <v/>
      </c>
      <c r="AR11" s="50">
        <f>IF(AND(AR$5&gt;$C11,AR$5-1&lt;$D11),1,"")</f>
        <v/>
      </c>
      <c r="AS11" s="50">
        <f>IF(AND(AS$5&gt;$C11,AS$5-1&lt;$D11),1,"")</f>
        <v/>
      </c>
      <c r="AT11" s="50">
        <f>IF(AND(AT$5&gt;$C11,AT$5-1&lt;$D11),1,"")</f>
        <v/>
      </c>
      <c r="AU11" s="50">
        <f>IF(AND(AU$5&gt;$C11,AU$5-1&lt;$D11),1,"")</f>
        <v/>
      </c>
      <c r="AV11" s="50">
        <f>IF(AND(AV$5&gt;$C11,AV$5-1&lt;$D11),1,"")</f>
        <v/>
      </c>
      <c r="AW11" s="50">
        <f>IF(AND(AW$5&gt;$C11,AW$5-1&lt;$D11),1,"")</f>
        <v/>
      </c>
      <c r="AX11" s="50">
        <f>IF(AND(AX$5&gt;$C11,AX$5-1&lt;$D11),1,"")</f>
        <v/>
      </c>
      <c r="AY11" s="50">
        <f>IF(AND(AY$5&gt;$C11,AY$5-1&lt;$D11),1,"")</f>
        <v/>
      </c>
      <c r="AZ11" s="50">
        <f>IF(AND(AZ$5&gt;$C11,AZ$5-1&lt;$D11),1,"")</f>
        <v/>
      </c>
      <c r="BA11" s="50">
        <f>IF(AND(BA$5&gt;$C11,BA$5-1&lt;$D11),1,"")</f>
        <v/>
      </c>
      <c r="BB11" s="50">
        <f>IF(AND(BB$5&gt;$C11,BB$5-1&lt;$D11),1,"")</f>
        <v/>
      </c>
      <c r="BC11" s="50">
        <f>IF(AND(BC$5&gt;$C11,BC$5-1&lt;$D11),1,"")</f>
        <v/>
      </c>
      <c r="BD11" s="50">
        <f>IF(AND(BD$5&gt;$C11,BD$5-1&lt;$D11),1,"")</f>
        <v/>
      </c>
      <c r="BE11" s="50">
        <f>IF(AND(BE$5&gt;$C11,BE$5-1&lt;$D11),1,"")</f>
        <v/>
      </c>
      <c r="BF11" s="50">
        <f>IF(AND(BF$5&gt;$C11,BF$5-1&lt;$D11),1,"")</f>
        <v/>
      </c>
      <c r="BG11" s="50">
        <f>IF(AND(BG$5&gt;$C11,BG$5-1&lt;$D11),1,"")</f>
        <v/>
      </c>
      <c r="BH11" s="50">
        <f>IF(AND(BH$5&gt;$C11,BH$5-1&lt;$D11),1,"")</f>
        <v/>
      </c>
      <c r="BI11" s="50">
        <f>IF(AND(BI$5&gt;$C11,BI$5-1&lt;$D11),1,"")</f>
        <v/>
      </c>
      <c r="BJ11" s="50">
        <f>IF(AND(BJ$5&gt;$C11,BJ$5-1&lt;$D11),1,"")</f>
        <v/>
      </c>
      <c r="BK11" s="50">
        <f>IF(AND(BK$5&gt;$C11,BK$5-1&lt;$D11),1,"")</f>
        <v/>
      </c>
      <c r="BL11" s="50">
        <f>IF(AND(BL$5&gt;$C11,BL$5-1&lt;$D11),1,"")</f>
        <v/>
      </c>
      <c r="BM11" s="50">
        <f>IF(AND(BM$5&gt;$C11,BM$5-1&lt;$D11),1,"")</f>
        <v/>
      </c>
      <c r="BN11" s="50">
        <f>IF(AND(BN$5&gt;$C11,BN$5-1&lt;$D11),1,"")</f>
        <v/>
      </c>
      <c r="BO11" s="50">
        <f>IF(AND(BO$5&gt;$C11,BO$5-1&lt;$D11),1,"")</f>
        <v/>
      </c>
      <c r="BP11" s="50">
        <f>IF(AND(BP$5&gt;$C11,BP$5-1&lt;$D11),1,"")</f>
        <v/>
      </c>
      <c r="BQ11" s="50">
        <f>IF(AND(BQ$5&gt;$C11,BQ$5-1&lt;$D11),1,"")</f>
        <v/>
      </c>
      <c r="BR11" s="50">
        <f>IF(AND(BR$5&gt;$C11,BR$5-1&lt;$D11),1,"")</f>
        <v/>
      </c>
      <c r="BS11" s="50">
        <f>IF(AND(BS$5&gt;$C11,BS$5-1&lt;$D11),1,"")</f>
        <v/>
      </c>
      <c r="BT11" s="50">
        <f>IF(AND(BT$5&gt;$C11,BT$5-1&lt;$D11),1,"")</f>
        <v/>
      </c>
      <c r="BU11" s="50">
        <f>IF(AND(BU$5&gt;$C11,BU$5-1&lt;$D11),1,"")</f>
        <v/>
      </c>
      <c r="BV11" s="50">
        <f>IF(AND(BV$5&gt;$C11,BV$5-1&lt;$D11),1,"")</f>
        <v/>
      </c>
      <c r="BW11" s="50">
        <f>IF(AND(BW$5&gt;$C11,BW$5-1&lt;$D11),1,"")</f>
        <v/>
      </c>
      <c r="BX11" s="50">
        <f>IF(AND(BX$5&gt;$C11,BX$5-1&lt;$D11),1,"")</f>
        <v/>
      </c>
      <c r="BY11" s="50">
        <f>IF(AND(BY$5&gt;$C11,BY$5-1&lt;$D11),1,"")</f>
        <v/>
      </c>
      <c r="BZ11" s="50">
        <f>IF(AND(BZ$5&gt;$C11,BZ$5-1&lt;$D11),1,"")</f>
        <v/>
      </c>
      <c r="CA11" s="50">
        <f>IF(AND(CA$5&gt;$C11,CA$5-1&lt;$D11),1,"")</f>
        <v/>
      </c>
      <c r="CB11" s="50">
        <f>IF(AND(CB$5&gt;$C11,CB$5-1&lt;$D11),1,"")</f>
        <v/>
      </c>
      <c r="CC11" s="50">
        <f>IF(AND(CC$5&gt;$C11,CC$5-1&lt;$D11),1,"")</f>
        <v/>
      </c>
      <c r="CD11" s="50">
        <f>IF(AND(CD$5&gt;$C11,CD$5-1&lt;$D11),1,"")</f>
        <v/>
      </c>
      <c r="CE11" s="50">
        <f>IF(AND(CE$5&gt;$C11,CE$5-1&lt;$D11),1,"")</f>
        <v/>
      </c>
      <c r="CF11" s="50">
        <f>IF(AND(CF$5&gt;$C11,CF$5-1&lt;$D11),1,"")</f>
        <v/>
      </c>
      <c r="CG11" s="50">
        <f>IF(AND(CG$5&gt;$C11,CG$5-1&lt;$D11),1,"")</f>
        <v/>
      </c>
      <c r="CH11" s="50">
        <f>IF(AND(CH$5&gt;$C11,CH$5-1&lt;$D11),1,"")</f>
        <v/>
      </c>
      <c r="CI11" s="50">
        <f>IF(AND(CI$5&gt;$C11,CI$5-1&lt;$D11),1,"")</f>
        <v/>
      </c>
      <c r="CJ11" s="50">
        <f>IF(AND(CJ$5&gt;$C11,CJ$5-1&lt;$D11),1,"")</f>
        <v/>
      </c>
      <c r="CK11" s="50">
        <f>IF(AND(CK$5&gt;$C11,CK$5-1&lt;$D11),1,"")</f>
        <v/>
      </c>
      <c r="CL11" s="50">
        <f>IF(AND(CL$5&gt;$C11,CL$5-1&lt;$D11),1,"")</f>
        <v/>
      </c>
    </row>
    <row r="12">
      <c r="A12" s="28">
        <f>PERT!A15</f>
        <v/>
      </c>
      <c r="B12" s="22">
        <f>PERT!B15</f>
        <v/>
      </c>
      <c r="C12" s="49">
        <f>PERT!K15</f>
        <v/>
      </c>
      <c r="D12" s="49">
        <f>PERT!L15</f>
        <v/>
      </c>
      <c r="E12" s="28">
        <f>PERT!P15</f>
        <v/>
      </c>
      <c r="F12" s="50">
        <f>IF(AND(F$5&gt;$C12,F$5-1&lt;$D12),1,"")</f>
        <v/>
      </c>
      <c r="G12" s="50">
        <f>IF(AND(G$5&gt;$C12,G$5-1&lt;$D12),1,"")</f>
        <v/>
      </c>
      <c r="H12" s="50">
        <f>IF(AND(H$5&gt;$C12,H$5-1&lt;$D12),1,"")</f>
        <v/>
      </c>
      <c r="I12" s="50">
        <f>IF(AND(I$5&gt;$C12,I$5-1&lt;$D12),1,"")</f>
        <v/>
      </c>
      <c r="J12" s="50">
        <f>IF(AND(J$5&gt;$C12,J$5-1&lt;$D12),1,"")</f>
        <v/>
      </c>
      <c r="K12" s="50">
        <f>IF(AND(K$5&gt;$C12,K$5-1&lt;$D12),1,"")</f>
        <v/>
      </c>
      <c r="L12" s="50">
        <f>IF(AND(L$5&gt;$C12,L$5-1&lt;$D12),1,"")</f>
        <v/>
      </c>
      <c r="M12" s="50">
        <f>IF(AND(M$5&gt;$C12,M$5-1&lt;$D12),1,"")</f>
        <v/>
      </c>
      <c r="N12" s="50">
        <f>IF(AND(N$5&gt;$C12,N$5-1&lt;$D12),1,"")</f>
        <v/>
      </c>
      <c r="O12" s="50">
        <f>IF(AND(O$5&gt;$C12,O$5-1&lt;$D12),1,"")</f>
        <v/>
      </c>
      <c r="P12" s="50">
        <f>IF(AND(P$5&gt;$C12,P$5-1&lt;$D12),1,"")</f>
        <v/>
      </c>
      <c r="Q12" s="50">
        <f>IF(AND(Q$5&gt;$C12,Q$5-1&lt;$D12),1,"")</f>
        <v/>
      </c>
      <c r="R12" s="50">
        <f>IF(AND(R$5&gt;$C12,R$5-1&lt;$D12),1,"")</f>
        <v/>
      </c>
      <c r="S12" s="50">
        <f>IF(AND(S$5&gt;$C12,S$5-1&lt;$D12),1,"")</f>
        <v/>
      </c>
      <c r="T12" s="50">
        <f>IF(AND(T$5&gt;$C12,T$5-1&lt;$D12),1,"")</f>
        <v/>
      </c>
      <c r="U12" s="50">
        <f>IF(AND(U$5&gt;$C12,U$5-1&lt;$D12),1,"")</f>
        <v/>
      </c>
      <c r="V12" s="50">
        <f>IF(AND(V$5&gt;$C12,V$5-1&lt;$D12),1,"")</f>
        <v/>
      </c>
      <c r="W12" s="50">
        <f>IF(AND(W$5&gt;$C12,W$5-1&lt;$D12),1,"")</f>
        <v/>
      </c>
      <c r="X12" s="50">
        <f>IF(AND(X$5&gt;$C12,X$5-1&lt;$D12),1,"")</f>
        <v/>
      </c>
      <c r="Y12" s="50">
        <f>IF(AND(Y$5&gt;$C12,Y$5-1&lt;$D12),1,"")</f>
        <v/>
      </c>
      <c r="Z12" s="50">
        <f>IF(AND(Z$5&gt;$C12,Z$5-1&lt;$D12),1,"")</f>
        <v/>
      </c>
      <c r="AA12" s="50">
        <f>IF(AND(AA$5&gt;$C12,AA$5-1&lt;$D12),1,"")</f>
        <v/>
      </c>
      <c r="AB12" s="50">
        <f>IF(AND(AB$5&gt;$C12,AB$5-1&lt;$D12),1,"")</f>
        <v/>
      </c>
      <c r="AC12" s="50">
        <f>IF(AND(AC$5&gt;$C12,AC$5-1&lt;$D12),1,"")</f>
        <v/>
      </c>
      <c r="AD12" s="50">
        <f>IF(AND(AD$5&gt;$C12,AD$5-1&lt;$D12),1,"")</f>
        <v/>
      </c>
      <c r="AE12" s="50">
        <f>IF(AND(AE$5&gt;$C12,AE$5-1&lt;$D12),1,"")</f>
        <v/>
      </c>
      <c r="AF12" s="50">
        <f>IF(AND(AF$5&gt;$C12,AF$5-1&lt;$D12),1,"")</f>
        <v/>
      </c>
      <c r="AG12" s="50">
        <f>IF(AND(AG$5&gt;$C12,AG$5-1&lt;$D12),1,"")</f>
        <v/>
      </c>
      <c r="AH12" s="50">
        <f>IF(AND(AH$5&gt;$C12,AH$5-1&lt;$D12),1,"")</f>
        <v/>
      </c>
      <c r="AI12" s="50">
        <f>IF(AND(AI$5&gt;$C12,AI$5-1&lt;$D12),1,"")</f>
        <v/>
      </c>
      <c r="AJ12" s="50">
        <f>IF(AND(AJ$5&gt;$C12,AJ$5-1&lt;$D12),1,"")</f>
        <v/>
      </c>
      <c r="AK12" s="50">
        <f>IF(AND(AK$5&gt;$C12,AK$5-1&lt;$D12),1,"")</f>
        <v/>
      </c>
      <c r="AL12" s="50">
        <f>IF(AND(AL$5&gt;$C12,AL$5-1&lt;$D12),1,"")</f>
        <v/>
      </c>
      <c r="AM12" s="50">
        <f>IF(AND(AM$5&gt;$C12,AM$5-1&lt;$D12),1,"")</f>
        <v/>
      </c>
      <c r="AN12" s="50">
        <f>IF(AND(AN$5&gt;$C12,AN$5-1&lt;$D12),1,"")</f>
        <v/>
      </c>
      <c r="AO12" s="50">
        <f>IF(AND(AO$5&gt;$C12,AO$5-1&lt;$D12),1,"")</f>
        <v/>
      </c>
      <c r="AP12" s="50">
        <f>IF(AND(AP$5&gt;$C12,AP$5-1&lt;$D12),1,"")</f>
        <v/>
      </c>
      <c r="AQ12" s="50">
        <f>IF(AND(AQ$5&gt;$C12,AQ$5-1&lt;$D12),1,"")</f>
        <v/>
      </c>
      <c r="AR12" s="50">
        <f>IF(AND(AR$5&gt;$C12,AR$5-1&lt;$D12),1,"")</f>
        <v/>
      </c>
      <c r="AS12" s="50">
        <f>IF(AND(AS$5&gt;$C12,AS$5-1&lt;$D12),1,"")</f>
        <v/>
      </c>
      <c r="AT12" s="50">
        <f>IF(AND(AT$5&gt;$C12,AT$5-1&lt;$D12),1,"")</f>
        <v/>
      </c>
      <c r="AU12" s="50">
        <f>IF(AND(AU$5&gt;$C12,AU$5-1&lt;$D12),1,"")</f>
        <v/>
      </c>
      <c r="AV12" s="50">
        <f>IF(AND(AV$5&gt;$C12,AV$5-1&lt;$D12),1,"")</f>
        <v/>
      </c>
      <c r="AW12" s="50">
        <f>IF(AND(AW$5&gt;$C12,AW$5-1&lt;$D12),1,"")</f>
        <v/>
      </c>
      <c r="AX12" s="50">
        <f>IF(AND(AX$5&gt;$C12,AX$5-1&lt;$D12),1,"")</f>
        <v/>
      </c>
      <c r="AY12" s="50">
        <f>IF(AND(AY$5&gt;$C12,AY$5-1&lt;$D12),1,"")</f>
        <v/>
      </c>
      <c r="AZ12" s="50">
        <f>IF(AND(AZ$5&gt;$C12,AZ$5-1&lt;$D12),1,"")</f>
        <v/>
      </c>
      <c r="BA12" s="50">
        <f>IF(AND(BA$5&gt;$C12,BA$5-1&lt;$D12),1,"")</f>
        <v/>
      </c>
      <c r="BB12" s="50">
        <f>IF(AND(BB$5&gt;$C12,BB$5-1&lt;$D12),1,"")</f>
        <v/>
      </c>
      <c r="BC12" s="50">
        <f>IF(AND(BC$5&gt;$C12,BC$5-1&lt;$D12),1,"")</f>
        <v/>
      </c>
      <c r="BD12" s="50">
        <f>IF(AND(BD$5&gt;$C12,BD$5-1&lt;$D12),1,"")</f>
        <v/>
      </c>
      <c r="BE12" s="50">
        <f>IF(AND(BE$5&gt;$C12,BE$5-1&lt;$D12),1,"")</f>
        <v/>
      </c>
      <c r="BF12" s="50">
        <f>IF(AND(BF$5&gt;$C12,BF$5-1&lt;$D12),1,"")</f>
        <v/>
      </c>
      <c r="BG12" s="50">
        <f>IF(AND(BG$5&gt;$C12,BG$5-1&lt;$D12),1,"")</f>
        <v/>
      </c>
      <c r="BH12" s="50">
        <f>IF(AND(BH$5&gt;$C12,BH$5-1&lt;$D12),1,"")</f>
        <v/>
      </c>
      <c r="BI12" s="50">
        <f>IF(AND(BI$5&gt;$C12,BI$5-1&lt;$D12),1,"")</f>
        <v/>
      </c>
      <c r="BJ12" s="50">
        <f>IF(AND(BJ$5&gt;$C12,BJ$5-1&lt;$D12),1,"")</f>
        <v/>
      </c>
      <c r="BK12" s="50">
        <f>IF(AND(BK$5&gt;$C12,BK$5-1&lt;$D12),1,"")</f>
        <v/>
      </c>
      <c r="BL12" s="50">
        <f>IF(AND(BL$5&gt;$C12,BL$5-1&lt;$D12),1,"")</f>
        <v/>
      </c>
      <c r="BM12" s="50">
        <f>IF(AND(BM$5&gt;$C12,BM$5-1&lt;$D12),1,"")</f>
        <v/>
      </c>
      <c r="BN12" s="50">
        <f>IF(AND(BN$5&gt;$C12,BN$5-1&lt;$D12),1,"")</f>
        <v/>
      </c>
      <c r="BO12" s="50">
        <f>IF(AND(BO$5&gt;$C12,BO$5-1&lt;$D12),1,"")</f>
        <v/>
      </c>
      <c r="BP12" s="50">
        <f>IF(AND(BP$5&gt;$C12,BP$5-1&lt;$D12),1,"")</f>
        <v/>
      </c>
      <c r="BQ12" s="50">
        <f>IF(AND(BQ$5&gt;$C12,BQ$5-1&lt;$D12),1,"")</f>
        <v/>
      </c>
      <c r="BR12" s="50">
        <f>IF(AND(BR$5&gt;$C12,BR$5-1&lt;$D12),1,"")</f>
        <v/>
      </c>
      <c r="BS12" s="50">
        <f>IF(AND(BS$5&gt;$C12,BS$5-1&lt;$D12),1,"")</f>
        <v/>
      </c>
      <c r="BT12" s="50">
        <f>IF(AND(BT$5&gt;$C12,BT$5-1&lt;$D12),1,"")</f>
        <v/>
      </c>
      <c r="BU12" s="50">
        <f>IF(AND(BU$5&gt;$C12,BU$5-1&lt;$D12),1,"")</f>
        <v/>
      </c>
      <c r="BV12" s="50">
        <f>IF(AND(BV$5&gt;$C12,BV$5-1&lt;$D12),1,"")</f>
        <v/>
      </c>
      <c r="BW12" s="50">
        <f>IF(AND(BW$5&gt;$C12,BW$5-1&lt;$D12),1,"")</f>
        <v/>
      </c>
      <c r="BX12" s="50">
        <f>IF(AND(BX$5&gt;$C12,BX$5-1&lt;$D12),1,"")</f>
        <v/>
      </c>
      <c r="BY12" s="50">
        <f>IF(AND(BY$5&gt;$C12,BY$5-1&lt;$D12),1,"")</f>
        <v/>
      </c>
      <c r="BZ12" s="50">
        <f>IF(AND(BZ$5&gt;$C12,BZ$5-1&lt;$D12),1,"")</f>
        <v/>
      </c>
      <c r="CA12" s="50">
        <f>IF(AND(CA$5&gt;$C12,CA$5-1&lt;$D12),1,"")</f>
        <v/>
      </c>
      <c r="CB12" s="50">
        <f>IF(AND(CB$5&gt;$C12,CB$5-1&lt;$D12),1,"")</f>
        <v/>
      </c>
      <c r="CC12" s="50">
        <f>IF(AND(CC$5&gt;$C12,CC$5-1&lt;$D12),1,"")</f>
        <v/>
      </c>
      <c r="CD12" s="50">
        <f>IF(AND(CD$5&gt;$C12,CD$5-1&lt;$D12),1,"")</f>
        <v/>
      </c>
      <c r="CE12" s="50">
        <f>IF(AND(CE$5&gt;$C12,CE$5-1&lt;$D12),1,"")</f>
        <v/>
      </c>
      <c r="CF12" s="50">
        <f>IF(AND(CF$5&gt;$C12,CF$5-1&lt;$D12),1,"")</f>
        <v/>
      </c>
      <c r="CG12" s="50">
        <f>IF(AND(CG$5&gt;$C12,CG$5-1&lt;$D12),1,"")</f>
        <v/>
      </c>
      <c r="CH12" s="50">
        <f>IF(AND(CH$5&gt;$C12,CH$5-1&lt;$D12),1,"")</f>
        <v/>
      </c>
      <c r="CI12" s="50">
        <f>IF(AND(CI$5&gt;$C12,CI$5-1&lt;$D12),1,"")</f>
        <v/>
      </c>
      <c r="CJ12" s="50">
        <f>IF(AND(CJ$5&gt;$C12,CJ$5-1&lt;$D12),1,"")</f>
        <v/>
      </c>
      <c r="CK12" s="50">
        <f>IF(AND(CK$5&gt;$C12,CK$5-1&lt;$D12),1,"")</f>
        <v/>
      </c>
      <c r="CL12" s="50">
        <f>IF(AND(CL$5&gt;$C12,CL$5-1&lt;$D12),1,"")</f>
        <v/>
      </c>
    </row>
    <row r="13">
      <c r="A13" s="28">
        <f>PERT!A16</f>
        <v/>
      </c>
      <c r="B13" s="22">
        <f>PERT!B16</f>
        <v/>
      </c>
      <c r="C13" s="49">
        <f>PERT!K16</f>
        <v/>
      </c>
      <c r="D13" s="49">
        <f>PERT!L16</f>
        <v/>
      </c>
      <c r="E13" s="28">
        <f>PERT!P16</f>
        <v/>
      </c>
      <c r="F13" s="50">
        <f>IF(AND(F$5&gt;$C13,F$5-1&lt;$D13),1,"")</f>
        <v/>
      </c>
      <c r="G13" s="50">
        <f>IF(AND(G$5&gt;$C13,G$5-1&lt;$D13),1,"")</f>
        <v/>
      </c>
      <c r="H13" s="50">
        <f>IF(AND(H$5&gt;$C13,H$5-1&lt;$D13),1,"")</f>
        <v/>
      </c>
      <c r="I13" s="50">
        <f>IF(AND(I$5&gt;$C13,I$5-1&lt;$D13),1,"")</f>
        <v/>
      </c>
      <c r="J13" s="50">
        <f>IF(AND(J$5&gt;$C13,J$5-1&lt;$D13),1,"")</f>
        <v/>
      </c>
      <c r="K13" s="50">
        <f>IF(AND(K$5&gt;$C13,K$5-1&lt;$D13),1,"")</f>
        <v/>
      </c>
      <c r="L13" s="50">
        <f>IF(AND(L$5&gt;$C13,L$5-1&lt;$D13),1,"")</f>
        <v/>
      </c>
      <c r="M13" s="50">
        <f>IF(AND(M$5&gt;$C13,M$5-1&lt;$D13),1,"")</f>
        <v/>
      </c>
      <c r="N13" s="50">
        <f>IF(AND(N$5&gt;$C13,N$5-1&lt;$D13),1,"")</f>
        <v/>
      </c>
      <c r="O13" s="50">
        <f>IF(AND(O$5&gt;$C13,O$5-1&lt;$D13),1,"")</f>
        <v/>
      </c>
      <c r="P13" s="50">
        <f>IF(AND(P$5&gt;$C13,P$5-1&lt;$D13),1,"")</f>
        <v/>
      </c>
      <c r="Q13" s="50">
        <f>IF(AND(Q$5&gt;$C13,Q$5-1&lt;$D13),1,"")</f>
        <v/>
      </c>
      <c r="R13" s="50">
        <f>IF(AND(R$5&gt;$C13,R$5-1&lt;$D13),1,"")</f>
        <v/>
      </c>
      <c r="S13" s="50">
        <f>IF(AND(S$5&gt;$C13,S$5-1&lt;$D13),1,"")</f>
        <v/>
      </c>
      <c r="T13" s="50">
        <f>IF(AND(T$5&gt;$C13,T$5-1&lt;$D13),1,"")</f>
        <v/>
      </c>
      <c r="U13" s="50">
        <f>IF(AND(U$5&gt;$C13,U$5-1&lt;$D13),1,"")</f>
        <v/>
      </c>
      <c r="V13" s="50">
        <f>IF(AND(V$5&gt;$C13,V$5-1&lt;$D13),1,"")</f>
        <v/>
      </c>
      <c r="W13" s="50">
        <f>IF(AND(W$5&gt;$C13,W$5-1&lt;$D13),1,"")</f>
        <v/>
      </c>
      <c r="X13" s="50">
        <f>IF(AND(X$5&gt;$C13,X$5-1&lt;$D13),1,"")</f>
        <v/>
      </c>
      <c r="Y13" s="50">
        <f>IF(AND(Y$5&gt;$C13,Y$5-1&lt;$D13),1,"")</f>
        <v/>
      </c>
      <c r="Z13" s="50">
        <f>IF(AND(Z$5&gt;$C13,Z$5-1&lt;$D13),1,"")</f>
        <v/>
      </c>
      <c r="AA13" s="50">
        <f>IF(AND(AA$5&gt;$C13,AA$5-1&lt;$D13),1,"")</f>
        <v/>
      </c>
      <c r="AB13" s="50">
        <f>IF(AND(AB$5&gt;$C13,AB$5-1&lt;$D13),1,"")</f>
        <v/>
      </c>
      <c r="AC13" s="50">
        <f>IF(AND(AC$5&gt;$C13,AC$5-1&lt;$D13),1,"")</f>
        <v/>
      </c>
      <c r="AD13" s="50">
        <f>IF(AND(AD$5&gt;$C13,AD$5-1&lt;$D13),1,"")</f>
        <v/>
      </c>
      <c r="AE13" s="50">
        <f>IF(AND(AE$5&gt;$C13,AE$5-1&lt;$D13),1,"")</f>
        <v/>
      </c>
      <c r="AF13" s="50">
        <f>IF(AND(AF$5&gt;$C13,AF$5-1&lt;$D13),1,"")</f>
        <v/>
      </c>
      <c r="AG13" s="50">
        <f>IF(AND(AG$5&gt;$C13,AG$5-1&lt;$D13),1,"")</f>
        <v/>
      </c>
      <c r="AH13" s="50">
        <f>IF(AND(AH$5&gt;$C13,AH$5-1&lt;$D13),1,"")</f>
        <v/>
      </c>
      <c r="AI13" s="50">
        <f>IF(AND(AI$5&gt;$C13,AI$5-1&lt;$D13),1,"")</f>
        <v/>
      </c>
      <c r="AJ13" s="50">
        <f>IF(AND(AJ$5&gt;$C13,AJ$5-1&lt;$D13),1,"")</f>
        <v/>
      </c>
      <c r="AK13" s="50">
        <f>IF(AND(AK$5&gt;$C13,AK$5-1&lt;$D13),1,"")</f>
        <v/>
      </c>
      <c r="AL13" s="50">
        <f>IF(AND(AL$5&gt;$C13,AL$5-1&lt;$D13),1,"")</f>
        <v/>
      </c>
      <c r="AM13" s="50">
        <f>IF(AND(AM$5&gt;$C13,AM$5-1&lt;$D13),1,"")</f>
        <v/>
      </c>
      <c r="AN13" s="50">
        <f>IF(AND(AN$5&gt;$C13,AN$5-1&lt;$D13),1,"")</f>
        <v/>
      </c>
      <c r="AO13" s="50">
        <f>IF(AND(AO$5&gt;$C13,AO$5-1&lt;$D13),1,"")</f>
        <v/>
      </c>
      <c r="AP13" s="50">
        <f>IF(AND(AP$5&gt;$C13,AP$5-1&lt;$D13),1,"")</f>
        <v/>
      </c>
      <c r="AQ13" s="50">
        <f>IF(AND(AQ$5&gt;$C13,AQ$5-1&lt;$D13),1,"")</f>
        <v/>
      </c>
      <c r="AR13" s="50">
        <f>IF(AND(AR$5&gt;$C13,AR$5-1&lt;$D13),1,"")</f>
        <v/>
      </c>
      <c r="AS13" s="50">
        <f>IF(AND(AS$5&gt;$C13,AS$5-1&lt;$D13),1,"")</f>
        <v/>
      </c>
      <c r="AT13" s="50">
        <f>IF(AND(AT$5&gt;$C13,AT$5-1&lt;$D13),1,"")</f>
        <v/>
      </c>
      <c r="AU13" s="50">
        <f>IF(AND(AU$5&gt;$C13,AU$5-1&lt;$D13),1,"")</f>
        <v/>
      </c>
      <c r="AV13" s="50">
        <f>IF(AND(AV$5&gt;$C13,AV$5-1&lt;$D13),1,"")</f>
        <v/>
      </c>
      <c r="AW13" s="50">
        <f>IF(AND(AW$5&gt;$C13,AW$5-1&lt;$D13),1,"")</f>
        <v/>
      </c>
      <c r="AX13" s="50">
        <f>IF(AND(AX$5&gt;$C13,AX$5-1&lt;$D13),1,"")</f>
        <v/>
      </c>
      <c r="AY13" s="50">
        <f>IF(AND(AY$5&gt;$C13,AY$5-1&lt;$D13),1,"")</f>
        <v/>
      </c>
      <c r="AZ13" s="50">
        <f>IF(AND(AZ$5&gt;$C13,AZ$5-1&lt;$D13),1,"")</f>
        <v/>
      </c>
      <c r="BA13" s="50">
        <f>IF(AND(BA$5&gt;$C13,BA$5-1&lt;$D13),1,"")</f>
        <v/>
      </c>
      <c r="BB13" s="50">
        <f>IF(AND(BB$5&gt;$C13,BB$5-1&lt;$D13),1,"")</f>
        <v/>
      </c>
      <c r="BC13" s="50">
        <f>IF(AND(BC$5&gt;$C13,BC$5-1&lt;$D13),1,"")</f>
        <v/>
      </c>
      <c r="BD13" s="50">
        <f>IF(AND(BD$5&gt;$C13,BD$5-1&lt;$D13),1,"")</f>
        <v/>
      </c>
      <c r="BE13" s="50">
        <f>IF(AND(BE$5&gt;$C13,BE$5-1&lt;$D13),1,"")</f>
        <v/>
      </c>
      <c r="BF13" s="50">
        <f>IF(AND(BF$5&gt;$C13,BF$5-1&lt;$D13),1,"")</f>
        <v/>
      </c>
      <c r="BG13" s="50">
        <f>IF(AND(BG$5&gt;$C13,BG$5-1&lt;$D13),1,"")</f>
        <v/>
      </c>
      <c r="BH13" s="50">
        <f>IF(AND(BH$5&gt;$C13,BH$5-1&lt;$D13),1,"")</f>
        <v/>
      </c>
      <c r="BI13" s="50">
        <f>IF(AND(BI$5&gt;$C13,BI$5-1&lt;$D13),1,"")</f>
        <v/>
      </c>
      <c r="BJ13" s="50">
        <f>IF(AND(BJ$5&gt;$C13,BJ$5-1&lt;$D13),1,"")</f>
        <v/>
      </c>
      <c r="BK13" s="50">
        <f>IF(AND(BK$5&gt;$C13,BK$5-1&lt;$D13),1,"")</f>
        <v/>
      </c>
      <c r="BL13" s="50">
        <f>IF(AND(BL$5&gt;$C13,BL$5-1&lt;$D13),1,"")</f>
        <v/>
      </c>
      <c r="BM13" s="50">
        <f>IF(AND(BM$5&gt;$C13,BM$5-1&lt;$D13),1,"")</f>
        <v/>
      </c>
      <c r="BN13" s="50">
        <f>IF(AND(BN$5&gt;$C13,BN$5-1&lt;$D13),1,"")</f>
        <v/>
      </c>
      <c r="BO13" s="50">
        <f>IF(AND(BO$5&gt;$C13,BO$5-1&lt;$D13),1,"")</f>
        <v/>
      </c>
      <c r="BP13" s="50">
        <f>IF(AND(BP$5&gt;$C13,BP$5-1&lt;$D13),1,"")</f>
        <v/>
      </c>
      <c r="BQ13" s="50">
        <f>IF(AND(BQ$5&gt;$C13,BQ$5-1&lt;$D13),1,"")</f>
        <v/>
      </c>
      <c r="BR13" s="50">
        <f>IF(AND(BR$5&gt;$C13,BR$5-1&lt;$D13),1,"")</f>
        <v/>
      </c>
      <c r="BS13" s="50">
        <f>IF(AND(BS$5&gt;$C13,BS$5-1&lt;$D13),1,"")</f>
        <v/>
      </c>
      <c r="BT13" s="50">
        <f>IF(AND(BT$5&gt;$C13,BT$5-1&lt;$D13),1,"")</f>
        <v/>
      </c>
      <c r="BU13" s="50">
        <f>IF(AND(BU$5&gt;$C13,BU$5-1&lt;$D13),1,"")</f>
        <v/>
      </c>
      <c r="BV13" s="50">
        <f>IF(AND(BV$5&gt;$C13,BV$5-1&lt;$D13),1,"")</f>
        <v/>
      </c>
      <c r="BW13" s="50">
        <f>IF(AND(BW$5&gt;$C13,BW$5-1&lt;$D13),1,"")</f>
        <v/>
      </c>
      <c r="BX13" s="50">
        <f>IF(AND(BX$5&gt;$C13,BX$5-1&lt;$D13),1,"")</f>
        <v/>
      </c>
      <c r="BY13" s="50">
        <f>IF(AND(BY$5&gt;$C13,BY$5-1&lt;$D13),1,"")</f>
        <v/>
      </c>
      <c r="BZ13" s="50">
        <f>IF(AND(BZ$5&gt;$C13,BZ$5-1&lt;$D13),1,"")</f>
        <v/>
      </c>
      <c r="CA13" s="50">
        <f>IF(AND(CA$5&gt;$C13,CA$5-1&lt;$D13),1,"")</f>
        <v/>
      </c>
      <c r="CB13" s="50">
        <f>IF(AND(CB$5&gt;$C13,CB$5-1&lt;$D13),1,"")</f>
        <v/>
      </c>
      <c r="CC13" s="50">
        <f>IF(AND(CC$5&gt;$C13,CC$5-1&lt;$D13),1,"")</f>
        <v/>
      </c>
      <c r="CD13" s="50">
        <f>IF(AND(CD$5&gt;$C13,CD$5-1&lt;$D13),1,"")</f>
        <v/>
      </c>
      <c r="CE13" s="50">
        <f>IF(AND(CE$5&gt;$C13,CE$5-1&lt;$D13),1,"")</f>
        <v/>
      </c>
      <c r="CF13" s="50">
        <f>IF(AND(CF$5&gt;$C13,CF$5-1&lt;$D13),1,"")</f>
        <v/>
      </c>
      <c r="CG13" s="50">
        <f>IF(AND(CG$5&gt;$C13,CG$5-1&lt;$D13),1,"")</f>
        <v/>
      </c>
      <c r="CH13" s="50">
        <f>IF(AND(CH$5&gt;$C13,CH$5-1&lt;$D13),1,"")</f>
        <v/>
      </c>
      <c r="CI13" s="50">
        <f>IF(AND(CI$5&gt;$C13,CI$5-1&lt;$D13),1,"")</f>
        <v/>
      </c>
      <c r="CJ13" s="50">
        <f>IF(AND(CJ$5&gt;$C13,CJ$5-1&lt;$D13),1,"")</f>
        <v/>
      </c>
      <c r="CK13" s="50">
        <f>IF(AND(CK$5&gt;$C13,CK$5-1&lt;$D13),1,"")</f>
        <v/>
      </c>
      <c r="CL13" s="50">
        <f>IF(AND(CL$5&gt;$C13,CL$5-1&lt;$D13),1,"")</f>
        <v/>
      </c>
    </row>
    <row r="14">
      <c r="A14" s="28">
        <f>PERT!A17</f>
        <v/>
      </c>
      <c r="B14" s="22">
        <f>PERT!B17</f>
        <v/>
      </c>
      <c r="C14" s="49">
        <f>PERT!K17</f>
        <v/>
      </c>
      <c r="D14" s="49">
        <f>PERT!L17</f>
        <v/>
      </c>
      <c r="E14" s="28">
        <f>PERT!P17</f>
        <v/>
      </c>
      <c r="F14" s="50">
        <f>IF(AND(F$5&gt;$C14,F$5-1&lt;$D14),1,"")</f>
        <v/>
      </c>
      <c r="G14" s="50">
        <f>IF(AND(G$5&gt;$C14,G$5-1&lt;$D14),1,"")</f>
        <v/>
      </c>
      <c r="H14" s="50">
        <f>IF(AND(H$5&gt;$C14,H$5-1&lt;$D14),1,"")</f>
        <v/>
      </c>
      <c r="I14" s="50">
        <f>IF(AND(I$5&gt;$C14,I$5-1&lt;$D14),1,"")</f>
        <v/>
      </c>
      <c r="J14" s="50">
        <f>IF(AND(J$5&gt;$C14,J$5-1&lt;$D14),1,"")</f>
        <v/>
      </c>
      <c r="K14" s="50">
        <f>IF(AND(K$5&gt;$C14,K$5-1&lt;$D14),1,"")</f>
        <v/>
      </c>
      <c r="L14" s="50">
        <f>IF(AND(L$5&gt;$C14,L$5-1&lt;$D14),1,"")</f>
        <v/>
      </c>
      <c r="M14" s="50">
        <f>IF(AND(M$5&gt;$C14,M$5-1&lt;$D14),1,"")</f>
        <v/>
      </c>
      <c r="N14" s="50">
        <f>IF(AND(N$5&gt;$C14,N$5-1&lt;$D14),1,"")</f>
        <v/>
      </c>
      <c r="O14" s="50">
        <f>IF(AND(O$5&gt;$C14,O$5-1&lt;$D14),1,"")</f>
        <v/>
      </c>
      <c r="P14" s="50">
        <f>IF(AND(P$5&gt;$C14,P$5-1&lt;$D14),1,"")</f>
        <v/>
      </c>
      <c r="Q14" s="50">
        <f>IF(AND(Q$5&gt;$C14,Q$5-1&lt;$D14),1,"")</f>
        <v/>
      </c>
      <c r="R14" s="50">
        <f>IF(AND(R$5&gt;$C14,R$5-1&lt;$D14),1,"")</f>
        <v/>
      </c>
      <c r="S14" s="50">
        <f>IF(AND(S$5&gt;$C14,S$5-1&lt;$D14),1,"")</f>
        <v/>
      </c>
      <c r="T14" s="50">
        <f>IF(AND(T$5&gt;$C14,T$5-1&lt;$D14),1,"")</f>
        <v/>
      </c>
      <c r="U14" s="50">
        <f>IF(AND(U$5&gt;$C14,U$5-1&lt;$D14),1,"")</f>
        <v/>
      </c>
      <c r="V14" s="50">
        <f>IF(AND(V$5&gt;$C14,V$5-1&lt;$D14),1,"")</f>
        <v/>
      </c>
      <c r="W14" s="50">
        <f>IF(AND(W$5&gt;$C14,W$5-1&lt;$D14),1,"")</f>
        <v/>
      </c>
      <c r="X14" s="50">
        <f>IF(AND(X$5&gt;$C14,X$5-1&lt;$D14),1,"")</f>
        <v/>
      </c>
      <c r="Y14" s="50">
        <f>IF(AND(Y$5&gt;$C14,Y$5-1&lt;$D14),1,"")</f>
        <v/>
      </c>
      <c r="Z14" s="50">
        <f>IF(AND(Z$5&gt;$C14,Z$5-1&lt;$D14),1,"")</f>
        <v/>
      </c>
      <c r="AA14" s="50">
        <f>IF(AND(AA$5&gt;$C14,AA$5-1&lt;$D14),1,"")</f>
        <v/>
      </c>
      <c r="AB14" s="50">
        <f>IF(AND(AB$5&gt;$C14,AB$5-1&lt;$D14),1,"")</f>
        <v/>
      </c>
      <c r="AC14" s="50">
        <f>IF(AND(AC$5&gt;$C14,AC$5-1&lt;$D14),1,"")</f>
        <v/>
      </c>
      <c r="AD14" s="50">
        <f>IF(AND(AD$5&gt;$C14,AD$5-1&lt;$D14),1,"")</f>
        <v/>
      </c>
      <c r="AE14" s="50">
        <f>IF(AND(AE$5&gt;$C14,AE$5-1&lt;$D14),1,"")</f>
        <v/>
      </c>
      <c r="AF14" s="50">
        <f>IF(AND(AF$5&gt;$C14,AF$5-1&lt;$D14),1,"")</f>
        <v/>
      </c>
      <c r="AG14" s="50">
        <f>IF(AND(AG$5&gt;$C14,AG$5-1&lt;$D14),1,"")</f>
        <v/>
      </c>
      <c r="AH14" s="50">
        <f>IF(AND(AH$5&gt;$C14,AH$5-1&lt;$D14),1,"")</f>
        <v/>
      </c>
      <c r="AI14" s="50">
        <f>IF(AND(AI$5&gt;$C14,AI$5-1&lt;$D14),1,"")</f>
        <v/>
      </c>
      <c r="AJ14" s="50">
        <f>IF(AND(AJ$5&gt;$C14,AJ$5-1&lt;$D14),1,"")</f>
        <v/>
      </c>
      <c r="AK14" s="50">
        <f>IF(AND(AK$5&gt;$C14,AK$5-1&lt;$D14),1,"")</f>
        <v/>
      </c>
      <c r="AL14" s="50">
        <f>IF(AND(AL$5&gt;$C14,AL$5-1&lt;$D14),1,"")</f>
        <v/>
      </c>
      <c r="AM14" s="50">
        <f>IF(AND(AM$5&gt;$C14,AM$5-1&lt;$D14),1,"")</f>
        <v/>
      </c>
      <c r="AN14" s="50">
        <f>IF(AND(AN$5&gt;$C14,AN$5-1&lt;$D14),1,"")</f>
        <v/>
      </c>
      <c r="AO14" s="50">
        <f>IF(AND(AO$5&gt;$C14,AO$5-1&lt;$D14),1,"")</f>
        <v/>
      </c>
      <c r="AP14" s="50">
        <f>IF(AND(AP$5&gt;$C14,AP$5-1&lt;$D14),1,"")</f>
        <v/>
      </c>
      <c r="AQ14" s="50">
        <f>IF(AND(AQ$5&gt;$C14,AQ$5-1&lt;$D14),1,"")</f>
        <v/>
      </c>
      <c r="AR14" s="50">
        <f>IF(AND(AR$5&gt;$C14,AR$5-1&lt;$D14),1,"")</f>
        <v/>
      </c>
      <c r="AS14" s="50">
        <f>IF(AND(AS$5&gt;$C14,AS$5-1&lt;$D14),1,"")</f>
        <v/>
      </c>
      <c r="AT14" s="50">
        <f>IF(AND(AT$5&gt;$C14,AT$5-1&lt;$D14),1,"")</f>
        <v/>
      </c>
      <c r="AU14" s="50">
        <f>IF(AND(AU$5&gt;$C14,AU$5-1&lt;$D14),1,"")</f>
        <v/>
      </c>
      <c r="AV14" s="50">
        <f>IF(AND(AV$5&gt;$C14,AV$5-1&lt;$D14),1,"")</f>
        <v/>
      </c>
      <c r="AW14" s="50">
        <f>IF(AND(AW$5&gt;$C14,AW$5-1&lt;$D14),1,"")</f>
        <v/>
      </c>
      <c r="AX14" s="50">
        <f>IF(AND(AX$5&gt;$C14,AX$5-1&lt;$D14),1,"")</f>
        <v/>
      </c>
      <c r="AY14" s="50">
        <f>IF(AND(AY$5&gt;$C14,AY$5-1&lt;$D14),1,"")</f>
        <v/>
      </c>
      <c r="AZ14" s="50">
        <f>IF(AND(AZ$5&gt;$C14,AZ$5-1&lt;$D14),1,"")</f>
        <v/>
      </c>
      <c r="BA14" s="50">
        <f>IF(AND(BA$5&gt;$C14,BA$5-1&lt;$D14),1,"")</f>
        <v/>
      </c>
      <c r="BB14" s="50">
        <f>IF(AND(BB$5&gt;$C14,BB$5-1&lt;$D14),1,"")</f>
        <v/>
      </c>
      <c r="BC14" s="50">
        <f>IF(AND(BC$5&gt;$C14,BC$5-1&lt;$D14),1,"")</f>
        <v/>
      </c>
      <c r="BD14" s="50">
        <f>IF(AND(BD$5&gt;$C14,BD$5-1&lt;$D14),1,"")</f>
        <v/>
      </c>
      <c r="BE14" s="50">
        <f>IF(AND(BE$5&gt;$C14,BE$5-1&lt;$D14),1,"")</f>
        <v/>
      </c>
      <c r="BF14" s="50">
        <f>IF(AND(BF$5&gt;$C14,BF$5-1&lt;$D14),1,"")</f>
        <v/>
      </c>
      <c r="BG14" s="50">
        <f>IF(AND(BG$5&gt;$C14,BG$5-1&lt;$D14),1,"")</f>
        <v/>
      </c>
      <c r="BH14" s="50">
        <f>IF(AND(BH$5&gt;$C14,BH$5-1&lt;$D14),1,"")</f>
        <v/>
      </c>
      <c r="BI14" s="50">
        <f>IF(AND(BI$5&gt;$C14,BI$5-1&lt;$D14),1,"")</f>
        <v/>
      </c>
      <c r="BJ14" s="50">
        <f>IF(AND(BJ$5&gt;$C14,BJ$5-1&lt;$D14),1,"")</f>
        <v/>
      </c>
      <c r="BK14" s="50">
        <f>IF(AND(BK$5&gt;$C14,BK$5-1&lt;$D14),1,"")</f>
        <v/>
      </c>
      <c r="BL14" s="50">
        <f>IF(AND(BL$5&gt;$C14,BL$5-1&lt;$D14),1,"")</f>
        <v/>
      </c>
      <c r="BM14" s="50">
        <f>IF(AND(BM$5&gt;$C14,BM$5-1&lt;$D14),1,"")</f>
        <v/>
      </c>
      <c r="BN14" s="50">
        <f>IF(AND(BN$5&gt;$C14,BN$5-1&lt;$D14),1,"")</f>
        <v/>
      </c>
      <c r="BO14" s="50">
        <f>IF(AND(BO$5&gt;$C14,BO$5-1&lt;$D14),1,"")</f>
        <v/>
      </c>
      <c r="BP14" s="50">
        <f>IF(AND(BP$5&gt;$C14,BP$5-1&lt;$D14),1,"")</f>
        <v/>
      </c>
      <c r="BQ14" s="50">
        <f>IF(AND(BQ$5&gt;$C14,BQ$5-1&lt;$D14),1,"")</f>
        <v/>
      </c>
      <c r="BR14" s="50">
        <f>IF(AND(BR$5&gt;$C14,BR$5-1&lt;$D14),1,"")</f>
        <v/>
      </c>
      <c r="BS14" s="50">
        <f>IF(AND(BS$5&gt;$C14,BS$5-1&lt;$D14),1,"")</f>
        <v/>
      </c>
      <c r="BT14" s="50">
        <f>IF(AND(BT$5&gt;$C14,BT$5-1&lt;$D14),1,"")</f>
        <v/>
      </c>
      <c r="BU14" s="50">
        <f>IF(AND(BU$5&gt;$C14,BU$5-1&lt;$D14),1,"")</f>
        <v/>
      </c>
      <c r="BV14" s="50">
        <f>IF(AND(BV$5&gt;$C14,BV$5-1&lt;$D14),1,"")</f>
        <v/>
      </c>
      <c r="BW14" s="50">
        <f>IF(AND(BW$5&gt;$C14,BW$5-1&lt;$D14),1,"")</f>
        <v/>
      </c>
      <c r="BX14" s="50">
        <f>IF(AND(BX$5&gt;$C14,BX$5-1&lt;$D14),1,"")</f>
        <v/>
      </c>
      <c r="BY14" s="50">
        <f>IF(AND(BY$5&gt;$C14,BY$5-1&lt;$D14),1,"")</f>
        <v/>
      </c>
      <c r="BZ14" s="50">
        <f>IF(AND(BZ$5&gt;$C14,BZ$5-1&lt;$D14),1,"")</f>
        <v/>
      </c>
      <c r="CA14" s="50">
        <f>IF(AND(CA$5&gt;$C14,CA$5-1&lt;$D14),1,"")</f>
        <v/>
      </c>
      <c r="CB14" s="50">
        <f>IF(AND(CB$5&gt;$C14,CB$5-1&lt;$D14),1,"")</f>
        <v/>
      </c>
      <c r="CC14" s="50">
        <f>IF(AND(CC$5&gt;$C14,CC$5-1&lt;$D14),1,"")</f>
        <v/>
      </c>
      <c r="CD14" s="50">
        <f>IF(AND(CD$5&gt;$C14,CD$5-1&lt;$D14),1,"")</f>
        <v/>
      </c>
      <c r="CE14" s="50">
        <f>IF(AND(CE$5&gt;$C14,CE$5-1&lt;$D14),1,"")</f>
        <v/>
      </c>
      <c r="CF14" s="50">
        <f>IF(AND(CF$5&gt;$C14,CF$5-1&lt;$D14),1,"")</f>
        <v/>
      </c>
      <c r="CG14" s="50">
        <f>IF(AND(CG$5&gt;$C14,CG$5-1&lt;$D14),1,"")</f>
        <v/>
      </c>
      <c r="CH14" s="50">
        <f>IF(AND(CH$5&gt;$C14,CH$5-1&lt;$D14),1,"")</f>
        <v/>
      </c>
      <c r="CI14" s="50">
        <f>IF(AND(CI$5&gt;$C14,CI$5-1&lt;$D14),1,"")</f>
        <v/>
      </c>
      <c r="CJ14" s="50">
        <f>IF(AND(CJ$5&gt;$C14,CJ$5-1&lt;$D14),1,"")</f>
        <v/>
      </c>
      <c r="CK14" s="50">
        <f>IF(AND(CK$5&gt;$C14,CK$5-1&lt;$D14),1,"")</f>
        <v/>
      </c>
      <c r="CL14" s="50">
        <f>IF(AND(CL$5&gt;$C14,CL$5-1&lt;$D14),1,"")</f>
        <v/>
      </c>
    </row>
    <row r="15">
      <c r="A15" s="28">
        <f>PERT!A18</f>
        <v/>
      </c>
      <c r="B15" s="22">
        <f>PERT!B18</f>
        <v/>
      </c>
      <c r="C15" s="49">
        <f>PERT!K18</f>
        <v/>
      </c>
      <c r="D15" s="49">
        <f>PERT!L18</f>
        <v/>
      </c>
      <c r="E15" s="28">
        <f>PERT!P18</f>
        <v/>
      </c>
      <c r="F15" s="50">
        <f>IF(AND(F$5&gt;$C15,F$5-1&lt;$D15),1,"")</f>
        <v/>
      </c>
      <c r="G15" s="50">
        <f>IF(AND(G$5&gt;$C15,G$5-1&lt;$D15),1,"")</f>
        <v/>
      </c>
      <c r="H15" s="50">
        <f>IF(AND(H$5&gt;$C15,H$5-1&lt;$D15),1,"")</f>
        <v/>
      </c>
      <c r="I15" s="50">
        <f>IF(AND(I$5&gt;$C15,I$5-1&lt;$D15),1,"")</f>
        <v/>
      </c>
      <c r="J15" s="50">
        <f>IF(AND(J$5&gt;$C15,J$5-1&lt;$D15),1,"")</f>
        <v/>
      </c>
      <c r="K15" s="50">
        <f>IF(AND(K$5&gt;$C15,K$5-1&lt;$D15),1,"")</f>
        <v/>
      </c>
      <c r="L15" s="50">
        <f>IF(AND(L$5&gt;$C15,L$5-1&lt;$D15),1,"")</f>
        <v/>
      </c>
      <c r="M15" s="50">
        <f>IF(AND(M$5&gt;$C15,M$5-1&lt;$D15),1,"")</f>
        <v/>
      </c>
      <c r="N15" s="50">
        <f>IF(AND(N$5&gt;$C15,N$5-1&lt;$D15),1,"")</f>
        <v/>
      </c>
      <c r="O15" s="50">
        <f>IF(AND(O$5&gt;$C15,O$5-1&lt;$D15),1,"")</f>
        <v/>
      </c>
      <c r="P15" s="50">
        <f>IF(AND(P$5&gt;$C15,P$5-1&lt;$D15),1,"")</f>
        <v/>
      </c>
      <c r="Q15" s="50">
        <f>IF(AND(Q$5&gt;$C15,Q$5-1&lt;$D15),1,"")</f>
        <v/>
      </c>
      <c r="R15" s="50">
        <f>IF(AND(R$5&gt;$C15,R$5-1&lt;$D15),1,"")</f>
        <v/>
      </c>
      <c r="S15" s="50">
        <f>IF(AND(S$5&gt;$C15,S$5-1&lt;$D15),1,"")</f>
        <v/>
      </c>
      <c r="T15" s="50">
        <f>IF(AND(T$5&gt;$C15,T$5-1&lt;$D15),1,"")</f>
        <v/>
      </c>
      <c r="U15" s="50">
        <f>IF(AND(U$5&gt;$C15,U$5-1&lt;$D15),1,"")</f>
        <v/>
      </c>
      <c r="V15" s="50">
        <f>IF(AND(V$5&gt;$C15,V$5-1&lt;$D15),1,"")</f>
        <v/>
      </c>
      <c r="W15" s="50">
        <f>IF(AND(W$5&gt;$C15,W$5-1&lt;$D15),1,"")</f>
        <v/>
      </c>
      <c r="X15" s="50">
        <f>IF(AND(X$5&gt;$C15,X$5-1&lt;$D15),1,"")</f>
        <v/>
      </c>
      <c r="Y15" s="50">
        <f>IF(AND(Y$5&gt;$C15,Y$5-1&lt;$D15),1,"")</f>
        <v/>
      </c>
      <c r="Z15" s="50">
        <f>IF(AND(Z$5&gt;$C15,Z$5-1&lt;$D15),1,"")</f>
        <v/>
      </c>
      <c r="AA15" s="50">
        <f>IF(AND(AA$5&gt;$C15,AA$5-1&lt;$D15),1,"")</f>
        <v/>
      </c>
      <c r="AB15" s="50">
        <f>IF(AND(AB$5&gt;$C15,AB$5-1&lt;$D15),1,"")</f>
        <v/>
      </c>
      <c r="AC15" s="50">
        <f>IF(AND(AC$5&gt;$C15,AC$5-1&lt;$D15),1,"")</f>
        <v/>
      </c>
      <c r="AD15" s="50">
        <f>IF(AND(AD$5&gt;$C15,AD$5-1&lt;$D15),1,"")</f>
        <v/>
      </c>
      <c r="AE15" s="50">
        <f>IF(AND(AE$5&gt;$C15,AE$5-1&lt;$D15),1,"")</f>
        <v/>
      </c>
      <c r="AF15" s="50">
        <f>IF(AND(AF$5&gt;$C15,AF$5-1&lt;$D15),1,"")</f>
        <v/>
      </c>
      <c r="AG15" s="50">
        <f>IF(AND(AG$5&gt;$C15,AG$5-1&lt;$D15),1,"")</f>
        <v/>
      </c>
      <c r="AH15" s="50">
        <f>IF(AND(AH$5&gt;$C15,AH$5-1&lt;$D15),1,"")</f>
        <v/>
      </c>
      <c r="AI15" s="50">
        <f>IF(AND(AI$5&gt;$C15,AI$5-1&lt;$D15),1,"")</f>
        <v/>
      </c>
      <c r="AJ15" s="50">
        <f>IF(AND(AJ$5&gt;$C15,AJ$5-1&lt;$D15),1,"")</f>
        <v/>
      </c>
      <c r="AK15" s="50">
        <f>IF(AND(AK$5&gt;$C15,AK$5-1&lt;$D15),1,"")</f>
        <v/>
      </c>
      <c r="AL15" s="50">
        <f>IF(AND(AL$5&gt;$C15,AL$5-1&lt;$D15),1,"")</f>
        <v/>
      </c>
      <c r="AM15" s="50">
        <f>IF(AND(AM$5&gt;$C15,AM$5-1&lt;$D15),1,"")</f>
        <v/>
      </c>
      <c r="AN15" s="50">
        <f>IF(AND(AN$5&gt;$C15,AN$5-1&lt;$D15),1,"")</f>
        <v/>
      </c>
      <c r="AO15" s="50">
        <f>IF(AND(AO$5&gt;$C15,AO$5-1&lt;$D15),1,"")</f>
        <v/>
      </c>
      <c r="AP15" s="50">
        <f>IF(AND(AP$5&gt;$C15,AP$5-1&lt;$D15),1,"")</f>
        <v/>
      </c>
      <c r="AQ15" s="50">
        <f>IF(AND(AQ$5&gt;$C15,AQ$5-1&lt;$D15),1,"")</f>
        <v/>
      </c>
      <c r="AR15" s="50">
        <f>IF(AND(AR$5&gt;$C15,AR$5-1&lt;$D15),1,"")</f>
        <v/>
      </c>
      <c r="AS15" s="50">
        <f>IF(AND(AS$5&gt;$C15,AS$5-1&lt;$D15),1,"")</f>
        <v/>
      </c>
      <c r="AT15" s="50">
        <f>IF(AND(AT$5&gt;$C15,AT$5-1&lt;$D15),1,"")</f>
        <v/>
      </c>
      <c r="AU15" s="50">
        <f>IF(AND(AU$5&gt;$C15,AU$5-1&lt;$D15),1,"")</f>
        <v/>
      </c>
      <c r="AV15" s="50">
        <f>IF(AND(AV$5&gt;$C15,AV$5-1&lt;$D15),1,"")</f>
        <v/>
      </c>
      <c r="AW15" s="50">
        <f>IF(AND(AW$5&gt;$C15,AW$5-1&lt;$D15),1,"")</f>
        <v/>
      </c>
      <c r="AX15" s="50">
        <f>IF(AND(AX$5&gt;$C15,AX$5-1&lt;$D15),1,"")</f>
        <v/>
      </c>
      <c r="AY15" s="50">
        <f>IF(AND(AY$5&gt;$C15,AY$5-1&lt;$D15),1,"")</f>
        <v/>
      </c>
      <c r="AZ15" s="50">
        <f>IF(AND(AZ$5&gt;$C15,AZ$5-1&lt;$D15),1,"")</f>
        <v/>
      </c>
      <c r="BA15" s="50">
        <f>IF(AND(BA$5&gt;$C15,BA$5-1&lt;$D15),1,"")</f>
        <v/>
      </c>
      <c r="BB15" s="50">
        <f>IF(AND(BB$5&gt;$C15,BB$5-1&lt;$D15),1,"")</f>
        <v/>
      </c>
      <c r="BC15" s="50">
        <f>IF(AND(BC$5&gt;$C15,BC$5-1&lt;$D15),1,"")</f>
        <v/>
      </c>
      <c r="BD15" s="50">
        <f>IF(AND(BD$5&gt;$C15,BD$5-1&lt;$D15),1,"")</f>
        <v/>
      </c>
      <c r="BE15" s="50">
        <f>IF(AND(BE$5&gt;$C15,BE$5-1&lt;$D15),1,"")</f>
        <v/>
      </c>
      <c r="BF15" s="50">
        <f>IF(AND(BF$5&gt;$C15,BF$5-1&lt;$D15),1,"")</f>
        <v/>
      </c>
      <c r="BG15" s="50">
        <f>IF(AND(BG$5&gt;$C15,BG$5-1&lt;$D15),1,"")</f>
        <v/>
      </c>
      <c r="BH15" s="50">
        <f>IF(AND(BH$5&gt;$C15,BH$5-1&lt;$D15),1,"")</f>
        <v/>
      </c>
      <c r="BI15" s="50">
        <f>IF(AND(BI$5&gt;$C15,BI$5-1&lt;$D15),1,"")</f>
        <v/>
      </c>
      <c r="BJ15" s="50">
        <f>IF(AND(BJ$5&gt;$C15,BJ$5-1&lt;$D15),1,"")</f>
        <v/>
      </c>
      <c r="BK15" s="50">
        <f>IF(AND(BK$5&gt;$C15,BK$5-1&lt;$D15),1,"")</f>
        <v/>
      </c>
      <c r="BL15" s="50">
        <f>IF(AND(BL$5&gt;$C15,BL$5-1&lt;$D15),1,"")</f>
        <v/>
      </c>
      <c r="BM15" s="50">
        <f>IF(AND(BM$5&gt;$C15,BM$5-1&lt;$D15),1,"")</f>
        <v/>
      </c>
      <c r="BN15" s="50">
        <f>IF(AND(BN$5&gt;$C15,BN$5-1&lt;$D15),1,"")</f>
        <v/>
      </c>
      <c r="BO15" s="50">
        <f>IF(AND(BO$5&gt;$C15,BO$5-1&lt;$D15),1,"")</f>
        <v/>
      </c>
      <c r="BP15" s="50">
        <f>IF(AND(BP$5&gt;$C15,BP$5-1&lt;$D15),1,"")</f>
        <v/>
      </c>
      <c r="BQ15" s="50">
        <f>IF(AND(BQ$5&gt;$C15,BQ$5-1&lt;$D15),1,"")</f>
        <v/>
      </c>
      <c r="BR15" s="50">
        <f>IF(AND(BR$5&gt;$C15,BR$5-1&lt;$D15),1,"")</f>
        <v/>
      </c>
      <c r="BS15" s="50">
        <f>IF(AND(BS$5&gt;$C15,BS$5-1&lt;$D15),1,"")</f>
        <v/>
      </c>
      <c r="BT15" s="50">
        <f>IF(AND(BT$5&gt;$C15,BT$5-1&lt;$D15),1,"")</f>
        <v/>
      </c>
      <c r="BU15" s="50">
        <f>IF(AND(BU$5&gt;$C15,BU$5-1&lt;$D15),1,"")</f>
        <v/>
      </c>
      <c r="BV15" s="50">
        <f>IF(AND(BV$5&gt;$C15,BV$5-1&lt;$D15),1,"")</f>
        <v/>
      </c>
      <c r="BW15" s="50">
        <f>IF(AND(BW$5&gt;$C15,BW$5-1&lt;$D15),1,"")</f>
        <v/>
      </c>
      <c r="BX15" s="50">
        <f>IF(AND(BX$5&gt;$C15,BX$5-1&lt;$D15),1,"")</f>
        <v/>
      </c>
      <c r="BY15" s="50">
        <f>IF(AND(BY$5&gt;$C15,BY$5-1&lt;$D15),1,"")</f>
        <v/>
      </c>
      <c r="BZ15" s="50">
        <f>IF(AND(BZ$5&gt;$C15,BZ$5-1&lt;$D15),1,"")</f>
        <v/>
      </c>
      <c r="CA15" s="50">
        <f>IF(AND(CA$5&gt;$C15,CA$5-1&lt;$D15),1,"")</f>
        <v/>
      </c>
      <c r="CB15" s="50">
        <f>IF(AND(CB$5&gt;$C15,CB$5-1&lt;$D15),1,"")</f>
        <v/>
      </c>
      <c r="CC15" s="50">
        <f>IF(AND(CC$5&gt;$C15,CC$5-1&lt;$D15),1,"")</f>
        <v/>
      </c>
      <c r="CD15" s="50">
        <f>IF(AND(CD$5&gt;$C15,CD$5-1&lt;$D15),1,"")</f>
        <v/>
      </c>
      <c r="CE15" s="50">
        <f>IF(AND(CE$5&gt;$C15,CE$5-1&lt;$D15),1,"")</f>
        <v/>
      </c>
      <c r="CF15" s="50">
        <f>IF(AND(CF$5&gt;$C15,CF$5-1&lt;$D15),1,"")</f>
        <v/>
      </c>
      <c r="CG15" s="50">
        <f>IF(AND(CG$5&gt;$C15,CG$5-1&lt;$D15),1,"")</f>
        <v/>
      </c>
      <c r="CH15" s="50">
        <f>IF(AND(CH$5&gt;$C15,CH$5-1&lt;$D15),1,"")</f>
        <v/>
      </c>
      <c r="CI15" s="50">
        <f>IF(AND(CI$5&gt;$C15,CI$5-1&lt;$D15),1,"")</f>
        <v/>
      </c>
      <c r="CJ15" s="50">
        <f>IF(AND(CJ$5&gt;$C15,CJ$5-1&lt;$D15),1,"")</f>
        <v/>
      </c>
      <c r="CK15" s="50">
        <f>IF(AND(CK$5&gt;$C15,CK$5-1&lt;$D15),1,"")</f>
        <v/>
      </c>
      <c r="CL15" s="50">
        <f>IF(AND(CL$5&gt;$C15,CL$5-1&lt;$D15),1,"")</f>
        <v/>
      </c>
    </row>
    <row r="16">
      <c r="A16" s="28">
        <f>PERT!A19</f>
        <v/>
      </c>
      <c r="B16" s="22">
        <f>PERT!B19</f>
        <v/>
      </c>
      <c r="C16" s="49">
        <f>PERT!K19</f>
        <v/>
      </c>
      <c r="D16" s="49">
        <f>PERT!L19</f>
        <v/>
      </c>
      <c r="E16" s="28">
        <f>PERT!P19</f>
        <v/>
      </c>
      <c r="F16" s="50">
        <f>IF(AND(F$5&gt;$C16,F$5-1&lt;$D16),1,"")</f>
        <v/>
      </c>
      <c r="G16" s="50">
        <f>IF(AND(G$5&gt;$C16,G$5-1&lt;$D16),1,"")</f>
        <v/>
      </c>
      <c r="H16" s="50">
        <f>IF(AND(H$5&gt;$C16,H$5-1&lt;$D16),1,"")</f>
        <v/>
      </c>
      <c r="I16" s="50">
        <f>IF(AND(I$5&gt;$C16,I$5-1&lt;$D16),1,"")</f>
        <v/>
      </c>
      <c r="J16" s="50">
        <f>IF(AND(J$5&gt;$C16,J$5-1&lt;$D16),1,"")</f>
        <v/>
      </c>
      <c r="K16" s="50">
        <f>IF(AND(K$5&gt;$C16,K$5-1&lt;$D16),1,"")</f>
        <v/>
      </c>
      <c r="L16" s="50">
        <f>IF(AND(L$5&gt;$C16,L$5-1&lt;$D16),1,"")</f>
        <v/>
      </c>
      <c r="M16" s="50">
        <f>IF(AND(M$5&gt;$C16,M$5-1&lt;$D16),1,"")</f>
        <v/>
      </c>
      <c r="N16" s="50">
        <f>IF(AND(N$5&gt;$C16,N$5-1&lt;$D16),1,"")</f>
        <v/>
      </c>
      <c r="O16" s="50">
        <f>IF(AND(O$5&gt;$C16,O$5-1&lt;$D16),1,"")</f>
        <v/>
      </c>
      <c r="P16" s="50">
        <f>IF(AND(P$5&gt;$C16,P$5-1&lt;$D16),1,"")</f>
        <v/>
      </c>
      <c r="Q16" s="50">
        <f>IF(AND(Q$5&gt;$C16,Q$5-1&lt;$D16),1,"")</f>
        <v/>
      </c>
      <c r="R16" s="50">
        <f>IF(AND(R$5&gt;$C16,R$5-1&lt;$D16),1,"")</f>
        <v/>
      </c>
      <c r="S16" s="50">
        <f>IF(AND(S$5&gt;$C16,S$5-1&lt;$D16),1,"")</f>
        <v/>
      </c>
      <c r="T16" s="50">
        <f>IF(AND(T$5&gt;$C16,T$5-1&lt;$D16),1,"")</f>
        <v/>
      </c>
      <c r="U16" s="50">
        <f>IF(AND(U$5&gt;$C16,U$5-1&lt;$D16),1,"")</f>
        <v/>
      </c>
      <c r="V16" s="50">
        <f>IF(AND(V$5&gt;$C16,V$5-1&lt;$D16),1,"")</f>
        <v/>
      </c>
      <c r="W16" s="50">
        <f>IF(AND(W$5&gt;$C16,W$5-1&lt;$D16),1,"")</f>
        <v/>
      </c>
      <c r="X16" s="50">
        <f>IF(AND(X$5&gt;$C16,X$5-1&lt;$D16),1,"")</f>
        <v/>
      </c>
      <c r="Y16" s="50">
        <f>IF(AND(Y$5&gt;$C16,Y$5-1&lt;$D16),1,"")</f>
        <v/>
      </c>
      <c r="Z16" s="50">
        <f>IF(AND(Z$5&gt;$C16,Z$5-1&lt;$D16),1,"")</f>
        <v/>
      </c>
      <c r="AA16" s="50">
        <f>IF(AND(AA$5&gt;$C16,AA$5-1&lt;$D16),1,"")</f>
        <v/>
      </c>
      <c r="AB16" s="50">
        <f>IF(AND(AB$5&gt;$C16,AB$5-1&lt;$D16),1,"")</f>
        <v/>
      </c>
      <c r="AC16" s="50">
        <f>IF(AND(AC$5&gt;$C16,AC$5-1&lt;$D16),1,"")</f>
        <v/>
      </c>
      <c r="AD16" s="50">
        <f>IF(AND(AD$5&gt;$C16,AD$5-1&lt;$D16),1,"")</f>
        <v/>
      </c>
      <c r="AE16" s="50">
        <f>IF(AND(AE$5&gt;$C16,AE$5-1&lt;$D16),1,"")</f>
        <v/>
      </c>
      <c r="AF16" s="50">
        <f>IF(AND(AF$5&gt;$C16,AF$5-1&lt;$D16),1,"")</f>
        <v/>
      </c>
      <c r="AG16" s="50">
        <f>IF(AND(AG$5&gt;$C16,AG$5-1&lt;$D16),1,"")</f>
        <v/>
      </c>
      <c r="AH16" s="50">
        <f>IF(AND(AH$5&gt;$C16,AH$5-1&lt;$D16),1,"")</f>
        <v/>
      </c>
      <c r="AI16" s="50">
        <f>IF(AND(AI$5&gt;$C16,AI$5-1&lt;$D16),1,"")</f>
        <v/>
      </c>
      <c r="AJ16" s="50">
        <f>IF(AND(AJ$5&gt;$C16,AJ$5-1&lt;$D16),1,"")</f>
        <v/>
      </c>
      <c r="AK16" s="50">
        <f>IF(AND(AK$5&gt;$C16,AK$5-1&lt;$D16),1,"")</f>
        <v/>
      </c>
      <c r="AL16" s="50">
        <f>IF(AND(AL$5&gt;$C16,AL$5-1&lt;$D16),1,"")</f>
        <v/>
      </c>
      <c r="AM16" s="50">
        <f>IF(AND(AM$5&gt;$C16,AM$5-1&lt;$D16),1,"")</f>
        <v/>
      </c>
      <c r="AN16" s="50">
        <f>IF(AND(AN$5&gt;$C16,AN$5-1&lt;$D16),1,"")</f>
        <v/>
      </c>
      <c r="AO16" s="50">
        <f>IF(AND(AO$5&gt;$C16,AO$5-1&lt;$D16),1,"")</f>
        <v/>
      </c>
      <c r="AP16" s="50">
        <f>IF(AND(AP$5&gt;$C16,AP$5-1&lt;$D16),1,"")</f>
        <v/>
      </c>
      <c r="AQ16" s="50">
        <f>IF(AND(AQ$5&gt;$C16,AQ$5-1&lt;$D16),1,"")</f>
        <v/>
      </c>
      <c r="AR16" s="50">
        <f>IF(AND(AR$5&gt;$C16,AR$5-1&lt;$D16),1,"")</f>
        <v/>
      </c>
      <c r="AS16" s="50">
        <f>IF(AND(AS$5&gt;$C16,AS$5-1&lt;$D16),1,"")</f>
        <v/>
      </c>
      <c r="AT16" s="50">
        <f>IF(AND(AT$5&gt;$C16,AT$5-1&lt;$D16),1,"")</f>
        <v/>
      </c>
      <c r="AU16" s="50">
        <f>IF(AND(AU$5&gt;$C16,AU$5-1&lt;$D16),1,"")</f>
        <v/>
      </c>
      <c r="AV16" s="50">
        <f>IF(AND(AV$5&gt;$C16,AV$5-1&lt;$D16),1,"")</f>
        <v/>
      </c>
      <c r="AW16" s="50">
        <f>IF(AND(AW$5&gt;$C16,AW$5-1&lt;$D16),1,"")</f>
        <v/>
      </c>
      <c r="AX16" s="50">
        <f>IF(AND(AX$5&gt;$C16,AX$5-1&lt;$D16),1,"")</f>
        <v/>
      </c>
      <c r="AY16" s="50">
        <f>IF(AND(AY$5&gt;$C16,AY$5-1&lt;$D16),1,"")</f>
        <v/>
      </c>
      <c r="AZ16" s="50">
        <f>IF(AND(AZ$5&gt;$C16,AZ$5-1&lt;$D16),1,"")</f>
        <v/>
      </c>
      <c r="BA16" s="50">
        <f>IF(AND(BA$5&gt;$C16,BA$5-1&lt;$D16),1,"")</f>
        <v/>
      </c>
      <c r="BB16" s="50">
        <f>IF(AND(BB$5&gt;$C16,BB$5-1&lt;$D16),1,"")</f>
        <v/>
      </c>
      <c r="BC16" s="50">
        <f>IF(AND(BC$5&gt;$C16,BC$5-1&lt;$D16),1,"")</f>
        <v/>
      </c>
      <c r="BD16" s="50">
        <f>IF(AND(BD$5&gt;$C16,BD$5-1&lt;$D16),1,"")</f>
        <v/>
      </c>
      <c r="BE16" s="50">
        <f>IF(AND(BE$5&gt;$C16,BE$5-1&lt;$D16),1,"")</f>
        <v/>
      </c>
      <c r="BF16" s="50">
        <f>IF(AND(BF$5&gt;$C16,BF$5-1&lt;$D16),1,"")</f>
        <v/>
      </c>
      <c r="BG16" s="50">
        <f>IF(AND(BG$5&gt;$C16,BG$5-1&lt;$D16),1,"")</f>
        <v/>
      </c>
      <c r="BH16" s="50">
        <f>IF(AND(BH$5&gt;$C16,BH$5-1&lt;$D16),1,"")</f>
        <v/>
      </c>
      <c r="BI16" s="50">
        <f>IF(AND(BI$5&gt;$C16,BI$5-1&lt;$D16),1,"")</f>
        <v/>
      </c>
      <c r="BJ16" s="50">
        <f>IF(AND(BJ$5&gt;$C16,BJ$5-1&lt;$D16),1,"")</f>
        <v/>
      </c>
      <c r="BK16" s="50">
        <f>IF(AND(BK$5&gt;$C16,BK$5-1&lt;$D16),1,"")</f>
        <v/>
      </c>
      <c r="BL16" s="50">
        <f>IF(AND(BL$5&gt;$C16,BL$5-1&lt;$D16),1,"")</f>
        <v/>
      </c>
      <c r="BM16" s="50">
        <f>IF(AND(BM$5&gt;$C16,BM$5-1&lt;$D16),1,"")</f>
        <v/>
      </c>
      <c r="BN16" s="50">
        <f>IF(AND(BN$5&gt;$C16,BN$5-1&lt;$D16),1,"")</f>
        <v/>
      </c>
      <c r="BO16" s="50">
        <f>IF(AND(BO$5&gt;$C16,BO$5-1&lt;$D16),1,"")</f>
        <v/>
      </c>
      <c r="BP16" s="50">
        <f>IF(AND(BP$5&gt;$C16,BP$5-1&lt;$D16),1,"")</f>
        <v/>
      </c>
      <c r="BQ16" s="50">
        <f>IF(AND(BQ$5&gt;$C16,BQ$5-1&lt;$D16),1,"")</f>
        <v/>
      </c>
      <c r="BR16" s="50">
        <f>IF(AND(BR$5&gt;$C16,BR$5-1&lt;$D16),1,"")</f>
        <v/>
      </c>
      <c r="BS16" s="50">
        <f>IF(AND(BS$5&gt;$C16,BS$5-1&lt;$D16),1,"")</f>
        <v/>
      </c>
      <c r="BT16" s="50">
        <f>IF(AND(BT$5&gt;$C16,BT$5-1&lt;$D16),1,"")</f>
        <v/>
      </c>
      <c r="BU16" s="50">
        <f>IF(AND(BU$5&gt;$C16,BU$5-1&lt;$D16),1,"")</f>
        <v/>
      </c>
      <c r="BV16" s="50">
        <f>IF(AND(BV$5&gt;$C16,BV$5-1&lt;$D16),1,"")</f>
        <v/>
      </c>
      <c r="BW16" s="50">
        <f>IF(AND(BW$5&gt;$C16,BW$5-1&lt;$D16),1,"")</f>
        <v/>
      </c>
      <c r="BX16" s="50">
        <f>IF(AND(BX$5&gt;$C16,BX$5-1&lt;$D16),1,"")</f>
        <v/>
      </c>
      <c r="BY16" s="50">
        <f>IF(AND(BY$5&gt;$C16,BY$5-1&lt;$D16),1,"")</f>
        <v/>
      </c>
      <c r="BZ16" s="50">
        <f>IF(AND(BZ$5&gt;$C16,BZ$5-1&lt;$D16),1,"")</f>
        <v/>
      </c>
      <c r="CA16" s="50">
        <f>IF(AND(CA$5&gt;$C16,CA$5-1&lt;$D16),1,"")</f>
        <v/>
      </c>
      <c r="CB16" s="50">
        <f>IF(AND(CB$5&gt;$C16,CB$5-1&lt;$D16),1,"")</f>
        <v/>
      </c>
      <c r="CC16" s="50">
        <f>IF(AND(CC$5&gt;$C16,CC$5-1&lt;$D16),1,"")</f>
        <v/>
      </c>
      <c r="CD16" s="50">
        <f>IF(AND(CD$5&gt;$C16,CD$5-1&lt;$D16),1,"")</f>
        <v/>
      </c>
      <c r="CE16" s="50">
        <f>IF(AND(CE$5&gt;$C16,CE$5-1&lt;$D16),1,"")</f>
        <v/>
      </c>
      <c r="CF16" s="50">
        <f>IF(AND(CF$5&gt;$C16,CF$5-1&lt;$D16),1,"")</f>
        <v/>
      </c>
      <c r="CG16" s="50">
        <f>IF(AND(CG$5&gt;$C16,CG$5-1&lt;$D16),1,"")</f>
        <v/>
      </c>
      <c r="CH16" s="50">
        <f>IF(AND(CH$5&gt;$C16,CH$5-1&lt;$D16),1,"")</f>
        <v/>
      </c>
      <c r="CI16" s="50">
        <f>IF(AND(CI$5&gt;$C16,CI$5-1&lt;$D16),1,"")</f>
        <v/>
      </c>
      <c r="CJ16" s="50">
        <f>IF(AND(CJ$5&gt;$C16,CJ$5-1&lt;$D16),1,"")</f>
        <v/>
      </c>
      <c r="CK16" s="50">
        <f>IF(AND(CK$5&gt;$C16,CK$5-1&lt;$D16),1,"")</f>
        <v/>
      </c>
      <c r="CL16" s="50">
        <f>IF(AND(CL$5&gt;$C16,CL$5-1&lt;$D16),1,"")</f>
        <v/>
      </c>
    </row>
    <row r="17">
      <c r="A17" s="28">
        <f>PERT!A20</f>
        <v/>
      </c>
      <c r="B17" s="22">
        <f>PERT!B20</f>
        <v/>
      </c>
      <c r="C17" s="49">
        <f>PERT!K20</f>
        <v/>
      </c>
      <c r="D17" s="49">
        <f>PERT!L20</f>
        <v/>
      </c>
      <c r="E17" s="28">
        <f>PERT!P20</f>
        <v/>
      </c>
      <c r="F17" s="50">
        <f>IF(AND(F$5&gt;$C17,F$5-1&lt;$D17),1,"")</f>
        <v/>
      </c>
      <c r="G17" s="50">
        <f>IF(AND(G$5&gt;$C17,G$5-1&lt;$D17),1,"")</f>
        <v/>
      </c>
      <c r="H17" s="50">
        <f>IF(AND(H$5&gt;$C17,H$5-1&lt;$D17),1,"")</f>
        <v/>
      </c>
      <c r="I17" s="50">
        <f>IF(AND(I$5&gt;$C17,I$5-1&lt;$D17),1,"")</f>
        <v/>
      </c>
      <c r="J17" s="50">
        <f>IF(AND(J$5&gt;$C17,J$5-1&lt;$D17),1,"")</f>
        <v/>
      </c>
      <c r="K17" s="50">
        <f>IF(AND(K$5&gt;$C17,K$5-1&lt;$D17),1,"")</f>
        <v/>
      </c>
      <c r="L17" s="50">
        <f>IF(AND(L$5&gt;$C17,L$5-1&lt;$D17),1,"")</f>
        <v/>
      </c>
      <c r="M17" s="50">
        <f>IF(AND(M$5&gt;$C17,M$5-1&lt;$D17),1,"")</f>
        <v/>
      </c>
      <c r="N17" s="50">
        <f>IF(AND(N$5&gt;$C17,N$5-1&lt;$D17),1,"")</f>
        <v/>
      </c>
      <c r="O17" s="50">
        <f>IF(AND(O$5&gt;$C17,O$5-1&lt;$D17),1,"")</f>
        <v/>
      </c>
      <c r="P17" s="50">
        <f>IF(AND(P$5&gt;$C17,P$5-1&lt;$D17),1,"")</f>
        <v/>
      </c>
      <c r="Q17" s="50">
        <f>IF(AND(Q$5&gt;$C17,Q$5-1&lt;$D17),1,"")</f>
        <v/>
      </c>
      <c r="R17" s="50">
        <f>IF(AND(R$5&gt;$C17,R$5-1&lt;$D17),1,"")</f>
        <v/>
      </c>
      <c r="S17" s="50">
        <f>IF(AND(S$5&gt;$C17,S$5-1&lt;$D17),1,"")</f>
        <v/>
      </c>
      <c r="T17" s="50">
        <f>IF(AND(T$5&gt;$C17,T$5-1&lt;$D17),1,"")</f>
        <v/>
      </c>
      <c r="U17" s="50">
        <f>IF(AND(U$5&gt;$C17,U$5-1&lt;$D17),1,"")</f>
        <v/>
      </c>
      <c r="V17" s="50">
        <f>IF(AND(V$5&gt;$C17,V$5-1&lt;$D17),1,"")</f>
        <v/>
      </c>
      <c r="W17" s="50">
        <f>IF(AND(W$5&gt;$C17,W$5-1&lt;$D17),1,"")</f>
        <v/>
      </c>
      <c r="X17" s="50">
        <f>IF(AND(X$5&gt;$C17,X$5-1&lt;$D17),1,"")</f>
        <v/>
      </c>
      <c r="Y17" s="50">
        <f>IF(AND(Y$5&gt;$C17,Y$5-1&lt;$D17),1,"")</f>
        <v/>
      </c>
      <c r="Z17" s="50">
        <f>IF(AND(Z$5&gt;$C17,Z$5-1&lt;$D17),1,"")</f>
        <v/>
      </c>
      <c r="AA17" s="50">
        <f>IF(AND(AA$5&gt;$C17,AA$5-1&lt;$D17),1,"")</f>
        <v/>
      </c>
      <c r="AB17" s="50">
        <f>IF(AND(AB$5&gt;$C17,AB$5-1&lt;$D17),1,"")</f>
        <v/>
      </c>
      <c r="AC17" s="50">
        <f>IF(AND(AC$5&gt;$C17,AC$5-1&lt;$D17),1,"")</f>
        <v/>
      </c>
      <c r="AD17" s="50">
        <f>IF(AND(AD$5&gt;$C17,AD$5-1&lt;$D17),1,"")</f>
        <v/>
      </c>
      <c r="AE17" s="50">
        <f>IF(AND(AE$5&gt;$C17,AE$5-1&lt;$D17),1,"")</f>
        <v/>
      </c>
      <c r="AF17" s="50">
        <f>IF(AND(AF$5&gt;$C17,AF$5-1&lt;$D17),1,"")</f>
        <v/>
      </c>
      <c r="AG17" s="50">
        <f>IF(AND(AG$5&gt;$C17,AG$5-1&lt;$D17),1,"")</f>
        <v/>
      </c>
      <c r="AH17" s="50">
        <f>IF(AND(AH$5&gt;$C17,AH$5-1&lt;$D17),1,"")</f>
        <v/>
      </c>
      <c r="AI17" s="50">
        <f>IF(AND(AI$5&gt;$C17,AI$5-1&lt;$D17),1,"")</f>
        <v/>
      </c>
      <c r="AJ17" s="50">
        <f>IF(AND(AJ$5&gt;$C17,AJ$5-1&lt;$D17),1,"")</f>
        <v/>
      </c>
      <c r="AK17" s="50">
        <f>IF(AND(AK$5&gt;$C17,AK$5-1&lt;$D17),1,"")</f>
        <v/>
      </c>
      <c r="AL17" s="50">
        <f>IF(AND(AL$5&gt;$C17,AL$5-1&lt;$D17),1,"")</f>
        <v/>
      </c>
      <c r="AM17" s="50">
        <f>IF(AND(AM$5&gt;$C17,AM$5-1&lt;$D17),1,"")</f>
        <v/>
      </c>
      <c r="AN17" s="50">
        <f>IF(AND(AN$5&gt;$C17,AN$5-1&lt;$D17),1,"")</f>
        <v/>
      </c>
      <c r="AO17" s="50">
        <f>IF(AND(AO$5&gt;$C17,AO$5-1&lt;$D17),1,"")</f>
        <v/>
      </c>
      <c r="AP17" s="50">
        <f>IF(AND(AP$5&gt;$C17,AP$5-1&lt;$D17),1,"")</f>
        <v/>
      </c>
      <c r="AQ17" s="50">
        <f>IF(AND(AQ$5&gt;$C17,AQ$5-1&lt;$D17),1,"")</f>
        <v/>
      </c>
      <c r="AR17" s="50">
        <f>IF(AND(AR$5&gt;$C17,AR$5-1&lt;$D17),1,"")</f>
        <v/>
      </c>
      <c r="AS17" s="50">
        <f>IF(AND(AS$5&gt;$C17,AS$5-1&lt;$D17),1,"")</f>
        <v/>
      </c>
      <c r="AT17" s="50">
        <f>IF(AND(AT$5&gt;$C17,AT$5-1&lt;$D17),1,"")</f>
        <v/>
      </c>
      <c r="AU17" s="50">
        <f>IF(AND(AU$5&gt;$C17,AU$5-1&lt;$D17),1,"")</f>
        <v/>
      </c>
      <c r="AV17" s="50">
        <f>IF(AND(AV$5&gt;$C17,AV$5-1&lt;$D17),1,"")</f>
        <v/>
      </c>
      <c r="AW17" s="50">
        <f>IF(AND(AW$5&gt;$C17,AW$5-1&lt;$D17),1,"")</f>
        <v/>
      </c>
      <c r="AX17" s="50">
        <f>IF(AND(AX$5&gt;$C17,AX$5-1&lt;$D17),1,"")</f>
        <v/>
      </c>
      <c r="AY17" s="50">
        <f>IF(AND(AY$5&gt;$C17,AY$5-1&lt;$D17),1,"")</f>
        <v/>
      </c>
      <c r="AZ17" s="50">
        <f>IF(AND(AZ$5&gt;$C17,AZ$5-1&lt;$D17),1,"")</f>
        <v/>
      </c>
      <c r="BA17" s="50">
        <f>IF(AND(BA$5&gt;$C17,BA$5-1&lt;$D17),1,"")</f>
        <v/>
      </c>
      <c r="BB17" s="50">
        <f>IF(AND(BB$5&gt;$C17,BB$5-1&lt;$D17),1,"")</f>
        <v/>
      </c>
      <c r="BC17" s="50">
        <f>IF(AND(BC$5&gt;$C17,BC$5-1&lt;$D17),1,"")</f>
        <v/>
      </c>
      <c r="BD17" s="50">
        <f>IF(AND(BD$5&gt;$C17,BD$5-1&lt;$D17),1,"")</f>
        <v/>
      </c>
      <c r="BE17" s="50">
        <f>IF(AND(BE$5&gt;$C17,BE$5-1&lt;$D17),1,"")</f>
        <v/>
      </c>
      <c r="BF17" s="50">
        <f>IF(AND(BF$5&gt;$C17,BF$5-1&lt;$D17),1,"")</f>
        <v/>
      </c>
      <c r="BG17" s="50">
        <f>IF(AND(BG$5&gt;$C17,BG$5-1&lt;$D17),1,"")</f>
        <v/>
      </c>
      <c r="BH17" s="50">
        <f>IF(AND(BH$5&gt;$C17,BH$5-1&lt;$D17),1,"")</f>
        <v/>
      </c>
      <c r="BI17" s="50">
        <f>IF(AND(BI$5&gt;$C17,BI$5-1&lt;$D17),1,"")</f>
        <v/>
      </c>
      <c r="BJ17" s="50">
        <f>IF(AND(BJ$5&gt;$C17,BJ$5-1&lt;$D17),1,"")</f>
        <v/>
      </c>
      <c r="BK17" s="50">
        <f>IF(AND(BK$5&gt;$C17,BK$5-1&lt;$D17),1,"")</f>
        <v/>
      </c>
      <c r="BL17" s="50">
        <f>IF(AND(BL$5&gt;$C17,BL$5-1&lt;$D17),1,"")</f>
        <v/>
      </c>
      <c r="BM17" s="50">
        <f>IF(AND(BM$5&gt;$C17,BM$5-1&lt;$D17),1,"")</f>
        <v/>
      </c>
      <c r="BN17" s="50">
        <f>IF(AND(BN$5&gt;$C17,BN$5-1&lt;$D17),1,"")</f>
        <v/>
      </c>
      <c r="BO17" s="50">
        <f>IF(AND(BO$5&gt;$C17,BO$5-1&lt;$D17),1,"")</f>
        <v/>
      </c>
      <c r="BP17" s="50">
        <f>IF(AND(BP$5&gt;$C17,BP$5-1&lt;$D17),1,"")</f>
        <v/>
      </c>
      <c r="BQ17" s="50">
        <f>IF(AND(BQ$5&gt;$C17,BQ$5-1&lt;$D17),1,"")</f>
        <v/>
      </c>
      <c r="BR17" s="50">
        <f>IF(AND(BR$5&gt;$C17,BR$5-1&lt;$D17),1,"")</f>
        <v/>
      </c>
      <c r="BS17" s="50">
        <f>IF(AND(BS$5&gt;$C17,BS$5-1&lt;$D17),1,"")</f>
        <v/>
      </c>
      <c r="BT17" s="50">
        <f>IF(AND(BT$5&gt;$C17,BT$5-1&lt;$D17),1,"")</f>
        <v/>
      </c>
      <c r="BU17" s="50">
        <f>IF(AND(BU$5&gt;$C17,BU$5-1&lt;$D17),1,"")</f>
        <v/>
      </c>
      <c r="BV17" s="50">
        <f>IF(AND(BV$5&gt;$C17,BV$5-1&lt;$D17),1,"")</f>
        <v/>
      </c>
      <c r="BW17" s="50">
        <f>IF(AND(BW$5&gt;$C17,BW$5-1&lt;$D17),1,"")</f>
        <v/>
      </c>
      <c r="BX17" s="50">
        <f>IF(AND(BX$5&gt;$C17,BX$5-1&lt;$D17),1,"")</f>
        <v/>
      </c>
      <c r="BY17" s="50">
        <f>IF(AND(BY$5&gt;$C17,BY$5-1&lt;$D17),1,"")</f>
        <v/>
      </c>
      <c r="BZ17" s="50">
        <f>IF(AND(BZ$5&gt;$C17,BZ$5-1&lt;$D17),1,"")</f>
        <v/>
      </c>
      <c r="CA17" s="50">
        <f>IF(AND(CA$5&gt;$C17,CA$5-1&lt;$D17),1,"")</f>
        <v/>
      </c>
      <c r="CB17" s="50">
        <f>IF(AND(CB$5&gt;$C17,CB$5-1&lt;$D17),1,"")</f>
        <v/>
      </c>
      <c r="CC17" s="50">
        <f>IF(AND(CC$5&gt;$C17,CC$5-1&lt;$D17),1,"")</f>
        <v/>
      </c>
      <c r="CD17" s="50">
        <f>IF(AND(CD$5&gt;$C17,CD$5-1&lt;$D17),1,"")</f>
        <v/>
      </c>
      <c r="CE17" s="50">
        <f>IF(AND(CE$5&gt;$C17,CE$5-1&lt;$D17),1,"")</f>
        <v/>
      </c>
      <c r="CF17" s="50">
        <f>IF(AND(CF$5&gt;$C17,CF$5-1&lt;$D17),1,"")</f>
        <v/>
      </c>
      <c r="CG17" s="50">
        <f>IF(AND(CG$5&gt;$C17,CG$5-1&lt;$D17),1,"")</f>
        <v/>
      </c>
      <c r="CH17" s="50">
        <f>IF(AND(CH$5&gt;$C17,CH$5-1&lt;$D17),1,"")</f>
        <v/>
      </c>
      <c r="CI17" s="50">
        <f>IF(AND(CI$5&gt;$C17,CI$5-1&lt;$D17),1,"")</f>
        <v/>
      </c>
      <c r="CJ17" s="50">
        <f>IF(AND(CJ$5&gt;$C17,CJ$5-1&lt;$D17),1,"")</f>
        <v/>
      </c>
      <c r="CK17" s="50">
        <f>IF(AND(CK$5&gt;$C17,CK$5-1&lt;$D17),1,"")</f>
        <v/>
      </c>
      <c r="CL17" s="50">
        <f>IF(AND(CL$5&gt;$C17,CL$5-1&lt;$D17),1,"")</f>
        <v/>
      </c>
    </row>
    <row r="18">
      <c r="A18" s="28">
        <f>PERT!A21</f>
        <v/>
      </c>
      <c r="B18" s="22">
        <f>PERT!B21</f>
        <v/>
      </c>
      <c r="C18" s="49">
        <f>PERT!K21</f>
        <v/>
      </c>
      <c r="D18" s="49">
        <f>PERT!L21</f>
        <v/>
      </c>
      <c r="E18" s="28">
        <f>PERT!P21</f>
        <v/>
      </c>
      <c r="F18" s="50">
        <f>IF(AND(F$5&gt;$C18,F$5-1&lt;$D18),1,"")</f>
        <v/>
      </c>
      <c r="G18" s="50">
        <f>IF(AND(G$5&gt;$C18,G$5-1&lt;$D18),1,"")</f>
        <v/>
      </c>
      <c r="H18" s="50">
        <f>IF(AND(H$5&gt;$C18,H$5-1&lt;$D18),1,"")</f>
        <v/>
      </c>
      <c r="I18" s="50">
        <f>IF(AND(I$5&gt;$C18,I$5-1&lt;$D18),1,"")</f>
        <v/>
      </c>
      <c r="J18" s="50">
        <f>IF(AND(J$5&gt;$C18,J$5-1&lt;$D18),1,"")</f>
        <v/>
      </c>
      <c r="K18" s="50">
        <f>IF(AND(K$5&gt;$C18,K$5-1&lt;$D18),1,"")</f>
        <v/>
      </c>
      <c r="L18" s="50">
        <f>IF(AND(L$5&gt;$C18,L$5-1&lt;$D18),1,"")</f>
        <v/>
      </c>
      <c r="M18" s="50">
        <f>IF(AND(M$5&gt;$C18,M$5-1&lt;$D18),1,"")</f>
        <v/>
      </c>
      <c r="N18" s="50">
        <f>IF(AND(N$5&gt;$C18,N$5-1&lt;$D18),1,"")</f>
        <v/>
      </c>
      <c r="O18" s="50">
        <f>IF(AND(O$5&gt;$C18,O$5-1&lt;$D18),1,"")</f>
        <v/>
      </c>
      <c r="P18" s="50">
        <f>IF(AND(P$5&gt;$C18,P$5-1&lt;$D18),1,"")</f>
        <v/>
      </c>
      <c r="Q18" s="50">
        <f>IF(AND(Q$5&gt;$C18,Q$5-1&lt;$D18),1,"")</f>
        <v/>
      </c>
      <c r="R18" s="50">
        <f>IF(AND(R$5&gt;$C18,R$5-1&lt;$D18),1,"")</f>
        <v/>
      </c>
      <c r="S18" s="50">
        <f>IF(AND(S$5&gt;$C18,S$5-1&lt;$D18),1,"")</f>
        <v/>
      </c>
      <c r="T18" s="50">
        <f>IF(AND(T$5&gt;$C18,T$5-1&lt;$D18),1,"")</f>
        <v/>
      </c>
      <c r="U18" s="50">
        <f>IF(AND(U$5&gt;$C18,U$5-1&lt;$D18),1,"")</f>
        <v/>
      </c>
      <c r="V18" s="50">
        <f>IF(AND(V$5&gt;$C18,V$5-1&lt;$D18),1,"")</f>
        <v/>
      </c>
      <c r="W18" s="50">
        <f>IF(AND(W$5&gt;$C18,W$5-1&lt;$D18),1,"")</f>
        <v/>
      </c>
      <c r="X18" s="50">
        <f>IF(AND(X$5&gt;$C18,X$5-1&lt;$D18),1,"")</f>
        <v/>
      </c>
      <c r="Y18" s="50">
        <f>IF(AND(Y$5&gt;$C18,Y$5-1&lt;$D18),1,"")</f>
        <v/>
      </c>
      <c r="Z18" s="50">
        <f>IF(AND(Z$5&gt;$C18,Z$5-1&lt;$D18),1,"")</f>
        <v/>
      </c>
      <c r="AA18" s="50">
        <f>IF(AND(AA$5&gt;$C18,AA$5-1&lt;$D18),1,"")</f>
        <v/>
      </c>
      <c r="AB18" s="50">
        <f>IF(AND(AB$5&gt;$C18,AB$5-1&lt;$D18),1,"")</f>
        <v/>
      </c>
      <c r="AC18" s="50">
        <f>IF(AND(AC$5&gt;$C18,AC$5-1&lt;$D18),1,"")</f>
        <v/>
      </c>
      <c r="AD18" s="50">
        <f>IF(AND(AD$5&gt;$C18,AD$5-1&lt;$D18),1,"")</f>
        <v/>
      </c>
      <c r="AE18" s="50">
        <f>IF(AND(AE$5&gt;$C18,AE$5-1&lt;$D18),1,"")</f>
        <v/>
      </c>
      <c r="AF18" s="50">
        <f>IF(AND(AF$5&gt;$C18,AF$5-1&lt;$D18),1,"")</f>
        <v/>
      </c>
      <c r="AG18" s="50">
        <f>IF(AND(AG$5&gt;$C18,AG$5-1&lt;$D18),1,"")</f>
        <v/>
      </c>
      <c r="AH18" s="50">
        <f>IF(AND(AH$5&gt;$C18,AH$5-1&lt;$D18),1,"")</f>
        <v/>
      </c>
      <c r="AI18" s="50">
        <f>IF(AND(AI$5&gt;$C18,AI$5-1&lt;$D18),1,"")</f>
        <v/>
      </c>
      <c r="AJ18" s="50">
        <f>IF(AND(AJ$5&gt;$C18,AJ$5-1&lt;$D18),1,"")</f>
        <v/>
      </c>
      <c r="AK18" s="50">
        <f>IF(AND(AK$5&gt;$C18,AK$5-1&lt;$D18),1,"")</f>
        <v/>
      </c>
      <c r="AL18" s="50">
        <f>IF(AND(AL$5&gt;$C18,AL$5-1&lt;$D18),1,"")</f>
        <v/>
      </c>
      <c r="AM18" s="50">
        <f>IF(AND(AM$5&gt;$C18,AM$5-1&lt;$D18),1,"")</f>
        <v/>
      </c>
      <c r="AN18" s="50">
        <f>IF(AND(AN$5&gt;$C18,AN$5-1&lt;$D18),1,"")</f>
        <v/>
      </c>
      <c r="AO18" s="50">
        <f>IF(AND(AO$5&gt;$C18,AO$5-1&lt;$D18),1,"")</f>
        <v/>
      </c>
      <c r="AP18" s="50">
        <f>IF(AND(AP$5&gt;$C18,AP$5-1&lt;$D18),1,"")</f>
        <v/>
      </c>
      <c r="AQ18" s="50">
        <f>IF(AND(AQ$5&gt;$C18,AQ$5-1&lt;$D18),1,"")</f>
        <v/>
      </c>
      <c r="AR18" s="50">
        <f>IF(AND(AR$5&gt;$C18,AR$5-1&lt;$D18),1,"")</f>
        <v/>
      </c>
      <c r="AS18" s="50">
        <f>IF(AND(AS$5&gt;$C18,AS$5-1&lt;$D18),1,"")</f>
        <v/>
      </c>
      <c r="AT18" s="50">
        <f>IF(AND(AT$5&gt;$C18,AT$5-1&lt;$D18),1,"")</f>
        <v/>
      </c>
      <c r="AU18" s="50">
        <f>IF(AND(AU$5&gt;$C18,AU$5-1&lt;$D18),1,"")</f>
        <v/>
      </c>
      <c r="AV18" s="50">
        <f>IF(AND(AV$5&gt;$C18,AV$5-1&lt;$D18),1,"")</f>
        <v/>
      </c>
      <c r="AW18" s="50">
        <f>IF(AND(AW$5&gt;$C18,AW$5-1&lt;$D18),1,"")</f>
        <v/>
      </c>
      <c r="AX18" s="50">
        <f>IF(AND(AX$5&gt;$C18,AX$5-1&lt;$D18),1,"")</f>
        <v/>
      </c>
      <c r="AY18" s="50">
        <f>IF(AND(AY$5&gt;$C18,AY$5-1&lt;$D18),1,"")</f>
        <v/>
      </c>
      <c r="AZ18" s="50">
        <f>IF(AND(AZ$5&gt;$C18,AZ$5-1&lt;$D18),1,"")</f>
        <v/>
      </c>
      <c r="BA18" s="50">
        <f>IF(AND(BA$5&gt;$C18,BA$5-1&lt;$D18),1,"")</f>
        <v/>
      </c>
      <c r="BB18" s="50">
        <f>IF(AND(BB$5&gt;$C18,BB$5-1&lt;$D18),1,"")</f>
        <v/>
      </c>
      <c r="BC18" s="50">
        <f>IF(AND(BC$5&gt;$C18,BC$5-1&lt;$D18),1,"")</f>
        <v/>
      </c>
      <c r="BD18" s="50">
        <f>IF(AND(BD$5&gt;$C18,BD$5-1&lt;$D18),1,"")</f>
        <v/>
      </c>
      <c r="BE18" s="50">
        <f>IF(AND(BE$5&gt;$C18,BE$5-1&lt;$D18),1,"")</f>
        <v/>
      </c>
      <c r="BF18" s="50">
        <f>IF(AND(BF$5&gt;$C18,BF$5-1&lt;$D18),1,"")</f>
        <v/>
      </c>
      <c r="BG18" s="50">
        <f>IF(AND(BG$5&gt;$C18,BG$5-1&lt;$D18),1,"")</f>
        <v/>
      </c>
      <c r="BH18" s="50">
        <f>IF(AND(BH$5&gt;$C18,BH$5-1&lt;$D18),1,"")</f>
        <v/>
      </c>
      <c r="BI18" s="50">
        <f>IF(AND(BI$5&gt;$C18,BI$5-1&lt;$D18),1,"")</f>
        <v/>
      </c>
      <c r="BJ18" s="50">
        <f>IF(AND(BJ$5&gt;$C18,BJ$5-1&lt;$D18),1,"")</f>
        <v/>
      </c>
      <c r="BK18" s="50">
        <f>IF(AND(BK$5&gt;$C18,BK$5-1&lt;$D18),1,"")</f>
        <v/>
      </c>
      <c r="BL18" s="50">
        <f>IF(AND(BL$5&gt;$C18,BL$5-1&lt;$D18),1,"")</f>
        <v/>
      </c>
      <c r="BM18" s="50">
        <f>IF(AND(BM$5&gt;$C18,BM$5-1&lt;$D18),1,"")</f>
        <v/>
      </c>
      <c r="BN18" s="50">
        <f>IF(AND(BN$5&gt;$C18,BN$5-1&lt;$D18),1,"")</f>
        <v/>
      </c>
      <c r="BO18" s="50">
        <f>IF(AND(BO$5&gt;$C18,BO$5-1&lt;$D18),1,"")</f>
        <v/>
      </c>
      <c r="BP18" s="50">
        <f>IF(AND(BP$5&gt;$C18,BP$5-1&lt;$D18),1,"")</f>
        <v/>
      </c>
      <c r="BQ18" s="50">
        <f>IF(AND(BQ$5&gt;$C18,BQ$5-1&lt;$D18),1,"")</f>
        <v/>
      </c>
      <c r="BR18" s="50">
        <f>IF(AND(BR$5&gt;$C18,BR$5-1&lt;$D18),1,"")</f>
        <v/>
      </c>
      <c r="BS18" s="50">
        <f>IF(AND(BS$5&gt;$C18,BS$5-1&lt;$D18),1,"")</f>
        <v/>
      </c>
      <c r="BT18" s="50">
        <f>IF(AND(BT$5&gt;$C18,BT$5-1&lt;$D18),1,"")</f>
        <v/>
      </c>
      <c r="BU18" s="50">
        <f>IF(AND(BU$5&gt;$C18,BU$5-1&lt;$D18),1,"")</f>
        <v/>
      </c>
      <c r="BV18" s="50">
        <f>IF(AND(BV$5&gt;$C18,BV$5-1&lt;$D18),1,"")</f>
        <v/>
      </c>
      <c r="BW18" s="50">
        <f>IF(AND(BW$5&gt;$C18,BW$5-1&lt;$D18),1,"")</f>
        <v/>
      </c>
      <c r="BX18" s="50">
        <f>IF(AND(BX$5&gt;$C18,BX$5-1&lt;$D18),1,"")</f>
        <v/>
      </c>
      <c r="BY18" s="50">
        <f>IF(AND(BY$5&gt;$C18,BY$5-1&lt;$D18),1,"")</f>
        <v/>
      </c>
      <c r="BZ18" s="50">
        <f>IF(AND(BZ$5&gt;$C18,BZ$5-1&lt;$D18),1,"")</f>
        <v/>
      </c>
      <c r="CA18" s="50">
        <f>IF(AND(CA$5&gt;$C18,CA$5-1&lt;$D18),1,"")</f>
        <v/>
      </c>
      <c r="CB18" s="50">
        <f>IF(AND(CB$5&gt;$C18,CB$5-1&lt;$D18),1,"")</f>
        <v/>
      </c>
      <c r="CC18" s="50">
        <f>IF(AND(CC$5&gt;$C18,CC$5-1&lt;$D18),1,"")</f>
        <v/>
      </c>
      <c r="CD18" s="50">
        <f>IF(AND(CD$5&gt;$C18,CD$5-1&lt;$D18),1,"")</f>
        <v/>
      </c>
      <c r="CE18" s="50">
        <f>IF(AND(CE$5&gt;$C18,CE$5-1&lt;$D18),1,"")</f>
        <v/>
      </c>
      <c r="CF18" s="50">
        <f>IF(AND(CF$5&gt;$C18,CF$5-1&lt;$D18),1,"")</f>
        <v/>
      </c>
      <c r="CG18" s="50">
        <f>IF(AND(CG$5&gt;$C18,CG$5-1&lt;$D18),1,"")</f>
        <v/>
      </c>
      <c r="CH18" s="50">
        <f>IF(AND(CH$5&gt;$C18,CH$5-1&lt;$D18),1,"")</f>
        <v/>
      </c>
      <c r="CI18" s="50">
        <f>IF(AND(CI$5&gt;$C18,CI$5-1&lt;$D18),1,"")</f>
        <v/>
      </c>
      <c r="CJ18" s="50">
        <f>IF(AND(CJ$5&gt;$C18,CJ$5-1&lt;$D18),1,"")</f>
        <v/>
      </c>
      <c r="CK18" s="50">
        <f>IF(AND(CK$5&gt;$C18,CK$5-1&lt;$D18),1,"")</f>
        <v/>
      </c>
      <c r="CL18" s="50">
        <f>IF(AND(CL$5&gt;$C18,CL$5-1&lt;$D18),1,"")</f>
        <v/>
      </c>
    </row>
    <row r="19">
      <c r="A19" s="28">
        <f>PERT!A22</f>
        <v/>
      </c>
      <c r="B19" s="22">
        <f>PERT!B22</f>
        <v/>
      </c>
      <c r="C19" s="49">
        <f>PERT!K22</f>
        <v/>
      </c>
      <c r="D19" s="49">
        <f>PERT!L22</f>
        <v/>
      </c>
      <c r="E19" s="28">
        <f>PERT!P22</f>
        <v/>
      </c>
      <c r="F19" s="50">
        <f>IF(AND(F$5&gt;$C19,F$5-1&lt;$D19),1,"")</f>
        <v/>
      </c>
      <c r="G19" s="50">
        <f>IF(AND(G$5&gt;$C19,G$5-1&lt;$D19),1,"")</f>
        <v/>
      </c>
      <c r="H19" s="50">
        <f>IF(AND(H$5&gt;$C19,H$5-1&lt;$D19),1,"")</f>
        <v/>
      </c>
      <c r="I19" s="50">
        <f>IF(AND(I$5&gt;$C19,I$5-1&lt;$D19),1,"")</f>
        <v/>
      </c>
      <c r="J19" s="50">
        <f>IF(AND(J$5&gt;$C19,J$5-1&lt;$D19),1,"")</f>
        <v/>
      </c>
      <c r="K19" s="50">
        <f>IF(AND(K$5&gt;$C19,K$5-1&lt;$D19),1,"")</f>
        <v/>
      </c>
      <c r="L19" s="50">
        <f>IF(AND(L$5&gt;$C19,L$5-1&lt;$D19),1,"")</f>
        <v/>
      </c>
      <c r="M19" s="50">
        <f>IF(AND(M$5&gt;$C19,M$5-1&lt;$D19),1,"")</f>
        <v/>
      </c>
      <c r="N19" s="50">
        <f>IF(AND(N$5&gt;$C19,N$5-1&lt;$D19),1,"")</f>
        <v/>
      </c>
      <c r="O19" s="50">
        <f>IF(AND(O$5&gt;$C19,O$5-1&lt;$D19),1,"")</f>
        <v/>
      </c>
      <c r="P19" s="50">
        <f>IF(AND(P$5&gt;$C19,P$5-1&lt;$D19),1,"")</f>
        <v/>
      </c>
      <c r="Q19" s="50">
        <f>IF(AND(Q$5&gt;$C19,Q$5-1&lt;$D19),1,"")</f>
        <v/>
      </c>
      <c r="R19" s="50">
        <f>IF(AND(R$5&gt;$C19,R$5-1&lt;$D19),1,"")</f>
        <v/>
      </c>
      <c r="S19" s="50">
        <f>IF(AND(S$5&gt;$C19,S$5-1&lt;$D19),1,"")</f>
        <v/>
      </c>
      <c r="T19" s="50">
        <f>IF(AND(T$5&gt;$C19,T$5-1&lt;$D19),1,"")</f>
        <v/>
      </c>
      <c r="U19" s="50">
        <f>IF(AND(U$5&gt;$C19,U$5-1&lt;$D19),1,"")</f>
        <v/>
      </c>
      <c r="V19" s="50">
        <f>IF(AND(V$5&gt;$C19,V$5-1&lt;$D19),1,"")</f>
        <v/>
      </c>
      <c r="W19" s="50">
        <f>IF(AND(W$5&gt;$C19,W$5-1&lt;$D19),1,"")</f>
        <v/>
      </c>
      <c r="X19" s="50">
        <f>IF(AND(X$5&gt;$C19,X$5-1&lt;$D19),1,"")</f>
        <v/>
      </c>
      <c r="Y19" s="50">
        <f>IF(AND(Y$5&gt;$C19,Y$5-1&lt;$D19),1,"")</f>
        <v/>
      </c>
      <c r="Z19" s="50">
        <f>IF(AND(Z$5&gt;$C19,Z$5-1&lt;$D19),1,"")</f>
        <v/>
      </c>
      <c r="AA19" s="50">
        <f>IF(AND(AA$5&gt;$C19,AA$5-1&lt;$D19),1,"")</f>
        <v/>
      </c>
      <c r="AB19" s="50">
        <f>IF(AND(AB$5&gt;$C19,AB$5-1&lt;$D19),1,"")</f>
        <v/>
      </c>
      <c r="AC19" s="50">
        <f>IF(AND(AC$5&gt;$C19,AC$5-1&lt;$D19),1,"")</f>
        <v/>
      </c>
      <c r="AD19" s="50">
        <f>IF(AND(AD$5&gt;$C19,AD$5-1&lt;$D19),1,"")</f>
        <v/>
      </c>
      <c r="AE19" s="50">
        <f>IF(AND(AE$5&gt;$C19,AE$5-1&lt;$D19),1,"")</f>
        <v/>
      </c>
      <c r="AF19" s="50">
        <f>IF(AND(AF$5&gt;$C19,AF$5-1&lt;$D19),1,"")</f>
        <v/>
      </c>
      <c r="AG19" s="50">
        <f>IF(AND(AG$5&gt;$C19,AG$5-1&lt;$D19),1,"")</f>
        <v/>
      </c>
      <c r="AH19" s="50">
        <f>IF(AND(AH$5&gt;$C19,AH$5-1&lt;$D19),1,"")</f>
        <v/>
      </c>
      <c r="AI19" s="50">
        <f>IF(AND(AI$5&gt;$C19,AI$5-1&lt;$D19),1,"")</f>
        <v/>
      </c>
      <c r="AJ19" s="50">
        <f>IF(AND(AJ$5&gt;$C19,AJ$5-1&lt;$D19),1,"")</f>
        <v/>
      </c>
      <c r="AK19" s="50">
        <f>IF(AND(AK$5&gt;$C19,AK$5-1&lt;$D19),1,"")</f>
        <v/>
      </c>
      <c r="AL19" s="50">
        <f>IF(AND(AL$5&gt;$C19,AL$5-1&lt;$D19),1,"")</f>
        <v/>
      </c>
      <c r="AM19" s="50">
        <f>IF(AND(AM$5&gt;$C19,AM$5-1&lt;$D19),1,"")</f>
        <v/>
      </c>
      <c r="AN19" s="50">
        <f>IF(AND(AN$5&gt;$C19,AN$5-1&lt;$D19),1,"")</f>
        <v/>
      </c>
      <c r="AO19" s="50">
        <f>IF(AND(AO$5&gt;$C19,AO$5-1&lt;$D19),1,"")</f>
        <v/>
      </c>
      <c r="AP19" s="50">
        <f>IF(AND(AP$5&gt;$C19,AP$5-1&lt;$D19),1,"")</f>
        <v/>
      </c>
      <c r="AQ19" s="50">
        <f>IF(AND(AQ$5&gt;$C19,AQ$5-1&lt;$D19),1,"")</f>
        <v/>
      </c>
      <c r="AR19" s="50">
        <f>IF(AND(AR$5&gt;$C19,AR$5-1&lt;$D19),1,"")</f>
        <v/>
      </c>
      <c r="AS19" s="50">
        <f>IF(AND(AS$5&gt;$C19,AS$5-1&lt;$D19),1,"")</f>
        <v/>
      </c>
      <c r="AT19" s="50">
        <f>IF(AND(AT$5&gt;$C19,AT$5-1&lt;$D19),1,"")</f>
        <v/>
      </c>
      <c r="AU19" s="50">
        <f>IF(AND(AU$5&gt;$C19,AU$5-1&lt;$D19),1,"")</f>
        <v/>
      </c>
      <c r="AV19" s="50">
        <f>IF(AND(AV$5&gt;$C19,AV$5-1&lt;$D19),1,"")</f>
        <v/>
      </c>
      <c r="AW19" s="50">
        <f>IF(AND(AW$5&gt;$C19,AW$5-1&lt;$D19),1,"")</f>
        <v/>
      </c>
      <c r="AX19" s="50">
        <f>IF(AND(AX$5&gt;$C19,AX$5-1&lt;$D19),1,"")</f>
        <v/>
      </c>
      <c r="AY19" s="50">
        <f>IF(AND(AY$5&gt;$C19,AY$5-1&lt;$D19),1,"")</f>
        <v/>
      </c>
      <c r="AZ19" s="50">
        <f>IF(AND(AZ$5&gt;$C19,AZ$5-1&lt;$D19),1,"")</f>
        <v/>
      </c>
      <c r="BA19" s="50">
        <f>IF(AND(BA$5&gt;$C19,BA$5-1&lt;$D19),1,"")</f>
        <v/>
      </c>
      <c r="BB19" s="50">
        <f>IF(AND(BB$5&gt;$C19,BB$5-1&lt;$D19),1,"")</f>
        <v/>
      </c>
      <c r="BC19" s="50">
        <f>IF(AND(BC$5&gt;$C19,BC$5-1&lt;$D19),1,"")</f>
        <v/>
      </c>
      <c r="BD19" s="50">
        <f>IF(AND(BD$5&gt;$C19,BD$5-1&lt;$D19),1,"")</f>
        <v/>
      </c>
      <c r="BE19" s="50">
        <f>IF(AND(BE$5&gt;$C19,BE$5-1&lt;$D19),1,"")</f>
        <v/>
      </c>
      <c r="BF19" s="50">
        <f>IF(AND(BF$5&gt;$C19,BF$5-1&lt;$D19),1,"")</f>
        <v/>
      </c>
      <c r="BG19" s="50">
        <f>IF(AND(BG$5&gt;$C19,BG$5-1&lt;$D19),1,"")</f>
        <v/>
      </c>
      <c r="BH19" s="50">
        <f>IF(AND(BH$5&gt;$C19,BH$5-1&lt;$D19),1,"")</f>
        <v/>
      </c>
      <c r="BI19" s="50">
        <f>IF(AND(BI$5&gt;$C19,BI$5-1&lt;$D19),1,"")</f>
        <v/>
      </c>
      <c r="BJ19" s="50">
        <f>IF(AND(BJ$5&gt;$C19,BJ$5-1&lt;$D19),1,"")</f>
        <v/>
      </c>
      <c r="BK19" s="50">
        <f>IF(AND(BK$5&gt;$C19,BK$5-1&lt;$D19),1,"")</f>
        <v/>
      </c>
      <c r="BL19" s="50">
        <f>IF(AND(BL$5&gt;$C19,BL$5-1&lt;$D19),1,"")</f>
        <v/>
      </c>
      <c r="BM19" s="50">
        <f>IF(AND(BM$5&gt;$C19,BM$5-1&lt;$D19),1,"")</f>
        <v/>
      </c>
      <c r="BN19" s="50">
        <f>IF(AND(BN$5&gt;$C19,BN$5-1&lt;$D19),1,"")</f>
        <v/>
      </c>
      <c r="BO19" s="50">
        <f>IF(AND(BO$5&gt;$C19,BO$5-1&lt;$D19),1,"")</f>
        <v/>
      </c>
      <c r="BP19" s="50">
        <f>IF(AND(BP$5&gt;$C19,BP$5-1&lt;$D19),1,"")</f>
        <v/>
      </c>
      <c r="BQ19" s="50">
        <f>IF(AND(BQ$5&gt;$C19,BQ$5-1&lt;$D19),1,"")</f>
        <v/>
      </c>
      <c r="BR19" s="50">
        <f>IF(AND(BR$5&gt;$C19,BR$5-1&lt;$D19),1,"")</f>
        <v/>
      </c>
      <c r="BS19" s="50">
        <f>IF(AND(BS$5&gt;$C19,BS$5-1&lt;$D19),1,"")</f>
        <v/>
      </c>
      <c r="BT19" s="50">
        <f>IF(AND(BT$5&gt;$C19,BT$5-1&lt;$D19),1,"")</f>
        <v/>
      </c>
      <c r="BU19" s="50">
        <f>IF(AND(BU$5&gt;$C19,BU$5-1&lt;$D19),1,"")</f>
        <v/>
      </c>
      <c r="BV19" s="50">
        <f>IF(AND(BV$5&gt;$C19,BV$5-1&lt;$D19),1,"")</f>
        <v/>
      </c>
      <c r="BW19" s="50">
        <f>IF(AND(BW$5&gt;$C19,BW$5-1&lt;$D19),1,"")</f>
        <v/>
      </c>
      <c r="BX19" s="50">
        <f>IF(AND(BX$5&gt;$C19,BX$5-1&lt;$D19),1,"")</f>
        <v/>
      </c>
      <c r="BY19" s="50">
        <f>IF(AND(BY$5&gt;$C19,BY$5-1&lt;$D19),1,"")</f>
        <v/>
      </c>
      <c r="BZ19" s="50">
        <f>IF(AND(BZ$5&gt;$C19,BZ$5-1&lt;$D19),1,"")</f>
        <v/>
      </c>
      <c r="CA19" s="50">
        <f>IF(AND(CA$5&gt;$C19,CA$5-1&lt;$D19),1,"")</f>
        <v/>
      </c>
      <c r="CB19" s="50">
        <f>IF(AND(CB$5&gt;$C19,CB$5-1&lt;$D19),1,"")</f>
        <v/>
      </c>
      <c r="CC19" s="50">
        <f>IF(AND(CC$5&gt;$C19,CC$5-1&lt;$D19),1,"")</f>
        <v/>
      </c>
      <c r="CD19" s="50">
        <f>IF(AND(CD$5&gt;$C19,CD$5-1&lt;$D19),1,"")</f>
        <v/>
      </c>
      <c r="CE19" s="50">
        <f>IF(AND(CE$5&gt;$C19,CE$5-1&lt;$D19),1,"")</f>
        <v/>
      </c>
      <c r="CF19" s="50">
        <f>IF(AND(CF$5&gt;$C19,CF$5-1&lt;$D19),1,"")</f>
        <v/>
      </c>
      <c r="CG19" s="50">
        <f>IF(AND(CG$5&gt;$C19,CG$5-1&lt;$D19),1,"")</f>
        <v/>
      </c>
      <c r="CH19" s="50">
        <f>IF(AND(CH$5&gt;$C19,CH$5-1&lt;$D19),1,"")</f>
        <v/>
      </c>
      <c r="CI19" s="50">
        <f>IF(AND(CI$5&gt;$C19,CI$5-1&lt;$D19),1,"")</f>
        <v/>
      </c>
      <c r="CJ19" s="50">
        <f>IF(AND(CJ$5&gt;$C19,CJ$5-1&lt;$D19),1,"")</f>
        <v/>
      </c>
      <c r="CK19" s="50">
        <f>IF(AND(CK$5&gt;$C19,CK$5-1&lt;$D19),1,"")</f>
        <v/>
      </c>
      <c r="CL19" s="50">
        <f>IF(AND(CL$5&gt;$C19,CL$5-1&lt;$D19),1,"")</f>
        <v/>
      </c>
    </row>
    <row r="20">
      <c r="A20" s="28">
        <f>PERT!A23</f>
        <v/>
      </c>
      <c r="B20" s="22">
        <f>PERT!B23</f>
        <v/>
      </c>
      <c r="C20" s="49">
        <f>PERT!K23</f>
        <v/>
      </c>
      <c r="D20" s="49">
        <f>PERT!L23</f>
        <v/>
      </c>
      <c r="E20" s="28">
        <f>PERT!P23</f>
        <v/>
      </c>
      <c r="F20" s="50">
        <f>IF(AND(F$5&gt;$C20,F$5-1&lt;$D20),1,"")</f>
        <v/>
      </c>
      <c r="G20" s="50">
        <f>IF(AND(G$5&gt;$C20,G$5-1&lt;$D20),1,"")</f>
        <v/>
      </c>
      <c r="H20" s="50">
        <f>IF(AND(H$5&gt;$C20,H$5-1&lt;$D20),1,"")</f>
        <v/>
      </c>
      <c r="I20" s="50">
        <f>IF(AND(I$5&gt;$C20,I$5-1&lt;$D20),1,"")</f>
        <v/>
      </c>
      <c r="J20" s="50">
        <f>IF(AND(J$5&gt;$C20,J$5-1&lt;$D20),1,"")</f>
        <v/>
      </c>
      <c r="K20" s="50">
        <f>IF(AND(K$5&gt;$C20,K$5-1&lt;$D20),1,"")</f>
        <v/>
      </c>
      <c r="L20" s="50">
        <f>IF(AND(L$5&gt;$C20,L$5-1&lt;$D20),1,"")</f>
        <v/>
      </c>
      <c r="M20" s="50">
        <f>IF(AND(M$5&gt;$C20,M$5-1&lt;$D20),1,"")</f>
        <v/>
      </c>
      <c r="N20" s="50">
        <f>IF(AND(N$5&gt;$C20,N$5-1&lt;$D20),1,"")</f>
        <v/>
      </c>
      <c r="O20" s="50">
        <f>IF(AND(O$5&gt;$C20,O$5-1&lt;$D20),1,"")</f>
        <v/>
      </c>
      <c r="P20" s="50">
        <f>IF(AND(P$5&gt;$C20,P$5-1&lt;$D20),1,"")</f>
        <v/>
      </c>
      <c r="Q20" s="50">
        <f>IF(AND(Q$5&gt;$C20,Q$5-1&lt;$D20),1,"")</f>
        <v/>
      </c>
      <c r="R20" s="50">
        <f>IF(AND(R$5&gt;$C20,R$5-1&lt;$D20),1,"")</f>
        <v/>
      </c>
      <c r="S20" s="50">
        <f>IF(AND(S$5&gt;$C20,S$5-1&lt;$D20),1,"")</f>
        <v/>
      </c>
      <c r="T20" s="50">
        <f>IF(AND(T$5&gt;$C20,T$5-1&lt;$D20),1,"")</f>
        <v/>
      </c>
      <c r="U20" s="50">
        <f>IF(AND(U$5&gt;$C20,U$5-1&lt;$D20),1,"")</f>
        <v/>
      </c>
      <c r="V20" s="50">
        <f>IF(AND(V$5&gt;$C20,V$5-1&lt;$D20),1,"")</f>
        <v/>
      </c>
      <c r="W20" s="50">
        <f>IF(AND(W$5&gt;$C20,W$5-1&lt;$D20),1,"")</f>
        <v/>
      </c>
      <c r="X20" s="50">
        <f>IF(AND(X$5&gt;$C20,X$5-1&lt;$D20),1,"")</f>
        <v/>
      </c>
      <c r="Y20" s="50">
        <f>IF(AND(Y$5&gt;$C20,Y$5-1&lt;$D20),1,"")</f>
        <v/>
      </c>
      <c r="Z20" s="50">
        <f>IF(AND(Z$5&gt;$C20,Z$5-1&lt;$D20),1,"")</f>
        <v/>
      </c>
      <c r="AA20" s="50">
        <f>IF(AND(AA$5&gt;$C20,AA$5-1&lt;$D20),1,"")</f>
        <v/>
      </c>
      <c r="AB20" s="50">
        <f>IF(AND(AB$5&gt;$C20,AB$5-1&lt;$D20),1,"")</f>
        <v/>
      </c>
      <c r="AC20" s="50">
        <f>IF(AND(AC$5&gt;$C20,AC$5-1&lt;$D20),1,"")</f>
        <v/>
      </c>
      <c r="AD20" s="50">
        <f>IF(AND(AD$5&gt;$C20,AD$5-1&lt;$D20),1,"")</f>
        <v/>
      </c>
      <c r="AE20" s="50">
        <f>IF(AND(AE$5&gt;$C20,AE$5-1&lt;$D20),1,"")</f>
        <v/>
      </c>
      <c r="AF20" s="50">
        <f>IF(AND(AF$5&gt;$C20,AF$5-1&lt;$D20),1,"")</f>
        <v/>
      </c>
      <c r="AG20" s="50">
        <f>IF(AND(AG$5&gt;$C20,AG$5-1&lt;$D20),1,"")</f>
        <v/>
      </c>
      <c r="AH20" s="50">
        <f>IF(AND(AH$5&gt;$C20,AH$5-1&lt;$D20),1,"")</f>
        <v/>
      </c>
      <c r="AI20" s="50">
        <f>IF(AND(AI$5&gt;$C20,AI$5-1&lt;$D20),1,"")</f>
        <v/>
      </c>
      <c r="AJ20" s="50">
        <f>IF(AND(AJ$5&gt;$C20,AJ$5-1&lt;$D20),1,"")</f>
        <v/>
      </c>
      <c r="AK20" s="50">
        <f>IF(AND(AK$5&gt;$C20,AK$5-1&lt;$D20),1,"")</f>
        <v/>
      </c>
      <c r="AL20" s="50">
        <f>IF(AND(AL$5&gt;$C20,AL$5-1&lt;$D20),1,"")</f>
        <v/>
      </c>
      <c r="AM20" s="50">
        <f>IF(AND(AM$5&gt;$C20,AM$5-1&lt;$D20),1,"")</f>
        <v/>
      </c>
      <c r="AN20" s="50">
        <f>IF(AND(AN$5&gt;$C20,AN$5-1&lt;$D20),1,"")</f>
        <v/>
      </c>
      <c r="AO20" s="50">
        <f>IF(AND(AO$5&gt;$C20,AO$5-1&lt;$D20),1,"")</f>
        <v/>
      </c>
      <c r="AP20" s="50">
        <f>IF(AND(AP$5&gt;$C20,AP$5-1&lt;$D20),1,"")</f>
        <v/>
      </c>
      <c r="AQ20" s="50">
        <f>IF(AND(AQ$5&gt;$C20,AQ$5-1&lt;$D20),1,"")</f>
        <v/>
      </c>
      <c r="AR20" s="50">
        <f>IF(AND(AR$5&gt;$C20,AR$5-1&lt;$D20),1,"")</f>
        <v/>
      </c>
      <c r="AS20" s="50">
        <f>IF(AND(AS$5&gt;$C20,AS$5-1&lt;$D20),1,"")</f>
        <v/>
      </c>
      <c r="AT20" s="50">
        <f>IF(AND(AT$5&gt;$C20,AT$5-1&lt;$D20),1,"")</f>
        <v/>
      </c>
      <c r="AU20" s="50">
        <f>IF(AND(AU$5&gt;$C20,AU$5-1&lt;$D20),1,"")</f>
        <v/>
      </c>
      <c r="AV20" s="50">
        <f>IF(AND(AV$5&gt;$C20,AV$5-1&lt;$D20),1,"")</f>
        <v/>
      </c>
      <c r="AW20" s="50">
        <f>IF(AND(AW$5&gt;$C20,AW$5-1&lt;$D20),1,"")</f>
        <v/>
      </c>
      <c r="AX20" s="50">
        <f>IF(AND(AX$5&gt;$C20,AX$5-1&lt;$D20),1,"")</f>
        <v/>
      </c>
      <c r="AY20" s="50">
        <f>IF(AND(AY$5&gt;$C20,AY$5-1&lt;$D20),1,"")</f>
        <v/>
      </c>
      <c r="AZ20" s="50">
        <f>IF(AND(AZ$5&gt;$C20,AZ$5-1&lt;$D20),1,"")</f>
        <v/>
      </c>
      <c r="BA20" s="50">
        <f>IF(AND(BA$5&gt;$C20,BA$5-1&lt;$D20),1,"")</f>
        <v/>
      </c>
      <c r="BB20" s="50">
        <f>IF(AND(BB$5&gt;$C20,BB$5-1&lt;$D20),1,"")</f>
        <v/>
      </c>
      <c r="BC20" s="50">
        <f>IF(AND(BC$5&gt;$C20,BC$5-1&lt;$D20),1,"")</f>
        <v/>
      </c>
      <c r="BD20" s="50">
        <f>IF(AND(BD$5&gt;$C20,BD$5-1&lt;$D20),1,"")</f>
        <v/>
      </c>
      <c r="BE20" s="50">
        <f>IF(AND(BE$5&gt;$C20,BE$5-1&lt;$D20),1,"")</f>
        <v/>
      </c>
      <c r="BF20" s="50">
        <f>IF(AND(BF$5&gt;$C20,BF$5-1&lt;$D20),1,"")</f>
        <v/>
      </c>
      <c r="BG20" s="50">
        <f>IF(AND(BG$5&gt;$C20,BG$5-1&lt;$D20),1,"")</f>
        <v/>
      </c>
      <c r="BH20" s="50">
        <f>IF(AND(BH$5&gt;$C20,BH$5-1&lt;$D20),1,"")</f>
        <v/>
      </c>
      <c r="BI20" s="50">
        <f>IF(AND(BI$5&gt;$C20,BI$5-1&lt;$D20),1,"")</f>
        <v/>
      </c>
      <c r="BJ20" s="50">
        <f>IF(AND(BJ$5&gt;$C20,BJ$5-1&lt;$D20),1,"")</f>
        <v/>
      </c>
      <c r="BK20" s="50">
        <f>IF(AND(BK$5&gt;$C20,BK$5-1&lt;$D20),1,"")</f>
        <v/>
      </c>
      <c r="BL20" s="50">
        <f>IF(AND(BL$5&gt;$C20,BL$5-1&lt;$D20),1,"")</f>
        <v/>
      </c>
      <c r="BM20" s="50">
        <f>IF(AND(BM$5&gt;$C20,BM$5-1&lt;$D20),1,"")</f>
        <v/>
      </c>
      <c r="BN20" s="50">
        <f>IF(AND(BN$5&gt;$C20,BN$5-1&lt;$D20),1,"")</f>
        <v/>
      </c>
      <c r="BO20" s="50">
        <f>IF(AND(BO$5&gt;$C20,BO$5-1&lt;$D20),1,"")</f>
        <v/>
      </c>
      <c r="BP20" s="50">
        <f>IF(AND(BP$5&gt;$C20,BP$5-1&lt;$D20),1,"")</f>
        <v/>
      </c>
      <c r="BQ20" s="50">
        <f>IF(AND(BQ$5&gt;$C20,BQ$5-1&lt;$D20),1,"")</f>
        <v/>
      </c>
      <c r="BR20" s="50">
        <f>IF(AND(BR$5&gt;$C20,BR$5-1&lt;$D20),1,"")</f>
        <v/>
      </c>
      <c r="BS20" s="50">
        <f>IF(AND(BS$5&gt;$C20,BS$5-1&lt;$D20),1,"")</f>
        <v/>
      </c>
      <c r="BT20" s="50">
        <f>IF(AND(BT$5&gt;$C20,BT$5-1&lt;$D20),1,"")</f>
        <v/>
      </c>
      <c r="BU20" s="50">
        <f>IF(AND(BU$5&gt;$C20,BU$5-1&lt;$D20),1,"")</f>
        <v/>
      </c>
      <c r="BV20" s="50">
        <f>IF(AND(BV$5&gt;$C20,BV$5-1&lt;$D20),1,"")</f>
        <v/>
      </c>
      <c r="BW20" s="50">
        <f>IF(AND(BW$5&gt;$C20,BW$5-1&lt;$D20),1,"")</f>
        <v/>
      </c>
      <c r="BX20" s="50">
        <f>IF(AND(BX$5&gt;$C20,BX$5-1&lt;$D20),1,"")</f>
        <v/>
      </c>
      <c r="BY20" s="50">
        <f>IF(AND(BY$5&gt;$C20,BY$5-1&lt;$D20),1,"")</f>
        <v/>
      </c>
      <c r="BZ20" s="50">
        <f>IF(AND(BZ$5&gt;$C20,BZ$5-1&lt;$D20),1,"")</f>
        <v/>
      </c>
      <c r="CA20" s="50">
        <f>IF(AND(CA$5&gt;$C20,CA$5-1&lt;$D20),1,"")</f>
        <v/>
      </c>
      <c r="CB20" s="50">
        <f>IF(AND(CB$5&gt;$C20,CB$5-1&lt;$D20),1,"")</f>
        <v/>
      </c>
      <c r="CC20" s="50">
        <f>IF(AND(CC$5&gt;$C20,CC$5-1&lt;$D20),1,"")</f>
        <v/>
      </c>
      <c r="CD20" s="50">
        <f>IF(AND(CD$5&gt;$C20,CD$5-1&lt;$D20),1,"")</f>
        <v/>
      </c>
      <c r="CE20" s="50">
        <f>IF(AND(CE$5&gt;$C20,CE$5-1&lt;$D20),1,"")</f>
        <v/>
      </c>
      <c r="CF20" s="50">
        <f>IF(AND(CF$5&gt;$C20,CF$5-1&lt;$D20),1,"")</f>
        <v/>
      </c>
      <c r="CG20" s="50">
        <f>IF(AND(CG$5&gt;$C20,CG$5-1&lt;$D20),1,"")</f>
        <v/>
      </c>
      <c r="CH20" s="50">
        <f>IF(AND(CH$5&gt;$C20,CH$5-1&lt;$D20),1,"")</f>
        <v/>
      </c>
      <c r="CI20" s="50">
        <f>IF(AND(CI$5&gt;$C20,CI$5-1&lt;$D20),1,"")</f>
        <v/>
      </c>
      <c r="CJ20" s="50">
        <f>IF(AND(CJ$5&gt;$C20,CJ$5-1&lt;$D20),1,"")</f>
        <v/>
      </c>
      <c r="CK20" s="50">
        <f>IF(AND(CK$5&gt;$C20,CK$5-1&lt;$D20),1,"")</f>
        <v/>
      </c>
      <c r="CL20" s="50">
        <f>IF(AND(CL$5&gt;$C20,CL$5-1&lt;$D20),1,"")</f>
        <v/>
      </c>
    </row>
  </sheetData>
  <conditionalFormatting sqref="F6:CL20">
    <cfRule type="expression" priority="1" dxfId="1">
      <formula>AND(F6=1,$E6="Găng")</formula>
    </cfRule>
    <cfRule type="expression" priority="2" dxfId="2">
      <formula>F6=1</formula>
    </cfRule>
    <cfRule type="expression" priority="4" dxfId="3">
      <formula>F$5=PERT!$C$5</formula>
    </cfRule>
  </conditionalFormatting>
  <conditionalFormatting sqref="F4:CL5">
    <cfRule type="expression" priority="3" dxfId="4">
      <formula>F$5=PERT!$C$5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12" customWidth="1" min="3" max="3"/>
    <col width="6" customWidth="1" min="4" max="4"/>
    <col width="6" customWidth="1" min="5" max="5"/>
    <col width="6" customWidth="1" min="6" max="6"/>
    <col width="9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70" customWidth="1" min="16" max="16"/>
  </cols>
  <sheetData>
    <row r="1">
      <c r="A1" s="1" t="inlineStr">
        <is>
          <t>PHƯƠNG ÁN NÉN LỊCH – fast-tracking + giảm phạm vi (AI đề xuất, nhóm xác nhận)</t>
        </is>
      </c>
    </row>
    <row r="2" ht="30" customHeight="1">
      <c r="A2" s="4" t="inlineStr">
        <is>
          <t>Cột "Chồng lấn" = số ngày hoạt động được bắt đầu SỚM trước khi các hoạt động trước kết thúc (fast-tracking). ES = MAX(0; MAX(EF hoạt động trước) − Chồng lấn); LF = MIN(LS hoạt động sau + Chồng lấn của hoạt động sau). Sheet PERT giữ nguyên làm lịch gốc.</t>
        </is>
      </c>
    </row>
    <row r="4" ht="30" customHeight="1">
      <c r="A4" s="7" t="inlineStr">
        <is>
          <t>Mã</t>
        </is>
      </c>
      <c r="B4" s="7" t="inlineStr">
        <is>
          <t>Hoạt động</t>
        </is>
      </c>
      <c r="C4" s="7" t="inlineStr">
        <is>
          <t>Trước</t>
        </is>
      </c>
      <c r="D4" s="7" t="inlineStr">
        <is>
          <t>O</t>
        </is>
      </c>
      <c r="E4" s="7" t="inlineStr">
        <is>
          <t>M</t>
        </is>
      </c>
      <c r="F4" s="7" t="inlineStr">
        <is>
          <t>P</t>
        </is>
      </c>
      <c r="G4" s="7" t="inlineStr">
        <is>
          <t>Chồng lấn</t>
        </is>
      </c>
      <c r="H4" s="7" t="inlineStr">
        <is>
          <t>TE</t>
        </is>
      </c>
      <c r="I4" s="7" t="inlineStr">
        <is>
          <t>σ²</t>
        </is>
      </c>
      <c r="J4" s="7" t="inlineStr">
        <is>
          <t>ES</t>
        </is>
      </c>
      <c r="K4" s="7" t="inlineStr">
        <is>
          <t>EF</t>
        </is>
      </c>
      <c r="L4" s="7" t="inlineStr">
        <is>
          <t>LS</t>
        </is>
      </c>
      <c r="M4" s="7" t="inlineStr">
        <is>
          <t>LF</t>
        </is>
      </c>
      <c r="N4" s="7" t="inlineStr">
        <is>
          <t>Slack</t>
        </is>
      </c>
      <c r="O4" s="7" t="inlineStr">
        <is>
          <t>Găng?</t>
        </is>
      </c>
      <c r="P4" s="7" t="inlineStr">
        <is>
          <t>Thay đổi so với lịch gốc</t>
        </is>
      </c>
    </row>
    <row r="5">
      <c r="A5" s="28" t="inlineStr">
        <is>
          <t>A</t>
        </is>
      </c>
      <c r="B5" s="24">
        <f>PERT!B9</f>
        <v/>
      </c>
      <c r="C5" s="23" t="inlineStr">
        <is>
          <t>—</t>
        </is>
      </c>
      <c r="D5" s="51">
        <f>PERT!E9</f>
        <v/>
      </c>
      <c r="E5" s="51">
        <f>PERT!F9</f>
        <v/>
      </c>
      <c r="F5" s="51">
        <f>PERT!G9</f>
        <v/>
      </c>
      <c r="G5" s="52" t="n">
        <v>0</v>
      </c>
      <c r="H5" s="38">
        <f>(D5+4*E5+F5)/6</f>
        <v/>
      </c>
      <c r="I5" s="38">
        <f>((F5-D5)/6)^2</f>
        <v/>
      </c>
      <c r="J5" s="38">
        <f>0</f>
        <v/>
      </c>
      <c r="K5" s="38">
        <f>J5+H5</f>
        <v/>
      </c>
      <c r="L5" s="38">
        <f>M5-H5</f>
        <v/>
      </c>
      <c r="M5" s="38">
        <f>MIN(L6+G6)</f>
        <v/>
      </c>
      <c r="N5" s="38">
        <f>L5-J5</f>
        <v/>
      </c>
      <c r="O5" s="28">
        <f>IF(ABS(N5)&lt;0.005,"Găng","")</f>
        <v/>
      </c>
      <c r="P5" s="24" t="inlineStr"/>
    </row>
    <row r="6">
      <c r="A6" s="28" t="inlineStr">
        <is>
          <t>B</t>
        </is>
      </c>
      <c r="B6" s="24">
        <f>PERT!B10</f>
        <v/>
      </c>
      <c r="C6" s="23" t="inlineStr">
        <is>
          <t>A</t>
        </is>
      </c>
      <c r="D6" s="51">
        <f>PERT!E10</f>
        <v/>
      </c>
      <c r="E6" s="51">
        <f>PERT!F10</f>
        <v/>
      </c>
      <c r="F6" s="51">
        <f>PERT!G10</f>
        <v/>
      </c>
      <c r="G6" s="52" t="n">
        <v>0</v>
      </c>
      <c r="H6" s="38">
        <f>(D6+4*E6+F6)/6</f>
        <v/>
      </c>
      <c r="I6" s="38">
        <f>((F6-D6)/6)^2</f>
        <v/>
      </c>
      <c r="J6" s="38">
        <f>MAX(0,MAX(K5)-G6)</f>
        <v/>
      </c>
      <c r="K6" s="38">
        <f>J6+H6</f>
        <v/>
      </c>
      <c r="L6" s="38">
        <f>M6-H6</f>
        <v/>
      </c>
      <c r="M6" s="38">
        <f>MIN(L7+G7)</f>
        <v/>
      </c>
      <c r="N6" s="38">
        <f>L6-J6</f>
        <v/>
      </c>
      <c r="O6" s="28">
        <f>IF(ABS(N6)&lt;0.005,"Găng","")</f>
        <v/>
      </c>
      <c r="P6" s="24" t="inlineStr"/>
    </row>
    <row r="7">
      <c r="A7" s="28" t="inlineStr">
        <is>
          <t>C</t>
        </is>
      </c>
      <c r="B7" s="24">
        <f>PERT!B11</f>
        <v/>
      </c>
      <c r="C7" s="23" t="inlineStr">
        <is>
          <t>B</t>
        </is>
      </c>
      <c r="D7" s="51">
        <f>PERT!E11</f>
        <v/>
      </c>
      <c r="E7" s="51">
        <f>PERT!F11</f>
        <v/>
      </c>
      <c r="F7" s="51">
        <f>PERT!G11</f>
        <v/>
      </c>
      <c r="G7" s="52" t="n">
        <v>0</v>
      </c>
      <c r="H7" s="38">
        <f>(D7+4*E7+F7)/6</f>
        <v/>
      </c>
      <c r="I7" s="38">
        <f>((F7-D7)/6)^2</f>
        <v/>
      </c>
      <c r="J7" s="38">
        <f>MAX(0,MAX(K6)-G7)</f>
        <v/>
      </c>
      <c r="K7" s="38">
        <f>J7+H7</f>
        <v/>
      </c>
      <c r="L7" s="38">
        <f>M7-H7</f>
        <v/>
      </c>
      <c r="M7" s="38">
        <f>MIN(L8+G8,L9+G9,L16+G16)</f>
        <v/>
      </c>
      <c r="N7" s="38">
        <f>L7-J7</f>
        <v/>
      </c>
      <c r="O7" s="28">
        <f>IF(ABS(N7)&lt;0.005,"Găng","")</f>
        <v/>
      </c>
      <c r="P7" s="24" t="inlineStr"/>
    </row>
    <row r="8">
      <c r="A8" s="28" t="inlineStr">
        <is>
          <t>D</t>
        </is>
      </c>
      <c r="B8" s="24">
        <f>PERT!B12</f>
        <v/>
      </c>
      <c r="C8" s="23" t="inlineStr">
        <is>
          <t>C</t>
        </is>
      </c>
      <c r="D8" s="51">
        <f>PERT!E12</f>
        <v/>
      </c>
      <c r="E8" s="51">
        <f>PERT!F12</f>
        <v/>
      </c>
      <c r="F8" s="51">
        <f>PERT!G12</f>
        <v/>
      </c>
      <c r="G8" s="53" t="n">
        <v>2</v>
      </c>
      <c r="H8" s="38">
        <f>(D8+4*E8+F8)/6</f>
        <v/>
      </c>
      <c r="I8" s="38">
        <f>((F8-D8)/6)^2</f>
        <v/>
      </c>
      <c r="J8" s="38">
        <f>MAX(0,MAX(K7)-G8)</f>
        <v/>
      </c>
      <c r="K8" s="38">
        <f>J8+H8</f>
        <v/>
      </c>
      <c r="L8" s="38">
        <f>M8-H8</f>
        <v/>
      </c>
      <c r="M8" s="38">
        <f>MIN(L10+G10)</f>
        <v/>
      </c>
      <c r="N8" s="38">
        <f>L8-J8</f>
        <v/>
      </c>
      <c r="O8" s="28">
        <f>IF(ABS(N8)&lt;0.005,"Găng","")</f>
        <v/>
      </c>
      <c r="P8" s="24" t="inlineStr">
        <is>
          <t>Fast-tracking: thiết kế kiến trúc bắt đầu khi SRS đã duyệt phần lõi (FR01–FR08)</t>
        </is>
      </c>
    </row>
    <row r="9">
      <c r="A9" s="28" t="inlineStr">
        <is>
          <t>E</t>
        </is>
      </c>
      <c r="B9" s="24">
        <f>PERT!B13</f>
        <v/>
      </c>
      <c r="C9" s="23" t="inlineStr">
        <is>
          <t>C</t>
        </is>
      </c>
      <c r="D9" s="51">
        <f>PERT!E13</f>
        <v/>
      </c>
      <c r="E9" s="51">
        <f>PERT!F13</f>
        <v/>
      </c>
      <c r="F9" s="51">
        <f>PERT!G13</f>
        <v/>
      </c>
      <c r="G9" s="53" t="n">
        <v>2</v>
      </c>
      <c r="H9" s="38">
        <f>(D9+4*E9+F9)/6</f>
        <v/>
      </c>
      <c r="I9" s="38">
        <f>((F9-D9)/6)^2</f>
        <v/>
      </c>
      <c r="J9" s="38">
        <f>MAX(0,MAX(K7)-G9)</f>
        <v/>
      </c>
      <c r="K9" s="38">
        <f>J9+H9</f>
        <v/>
      </c>
      <c r="L9" s="38">
        <f>M9-H9</f>
        <v/>
      </c>
      <c r="M9" s="38">
        <f>MIN(L13+G13)</f>
        <v/>
      </c>
      <c r="N9" s="38">
        <f>L9-J9</f>
        <v/>
      </c>
      <c r="O9" s="28">
        <f>IF(ABS(N9)&lt;0.005,"Găng","")</f>
        <v/>
      </c>
      <c r="P9" s="24" t="inlineStr">
        <is>
          <t>Fast-tracking: thiết kế giao diện bắt đầu song song giai đoạn cuối SRS</t>
        </is>
      </c>
    </row>
    <row r="10">
      <c r="A10" s="28" t="inlineStr">
        <is>
          <t>F</t>
        </is>
      </c>
      <c r="B10" s="24">
        <f>PERT!B14</f>
        <v/>
      </c>
      <c r="C10" s="23" t="inlineStr">
        <is>
          <t>D</t>
        </is>
      </c>
      <c r="D10" s="51">
        <f>PERT!E14</f>
        <v/>
      </c>
      <c r="E10" s="51">
        <f>PERT!F14</f>
        <v/>
      </c>
      <c r="F10" s="51">
        <f>PERT!G14</f>
        <v/>
      </c>
      <c r="G10" s="52" t="n">
        <v>0</v>
      </c>
      <c r="H10" s="38">
        <f>(D10+4*E10+F10)/6</f>
        <v/>
      </c>
      <c r="I10" s="38">
        <f>((F10-D10)/6)^2</f>
        <v/>
      </c>
      <c r="J10" s="38">
        <f>MAX(0,MAX(K8)-G10)</f>
        <v/>
      </c>
      <c r="K10" s="38">
        <f>J10+H10</f>
        <v/>
      </c>
      <c r="L10" s="38">
        <f>M10-H10</f>
        <v/>
      </c>
      <c r="M10" s="38">
        <f>MIN(L11+G11,L12+G12,L14+G14)</f>
        <v/>
      </c>
      <c r="N10" s="38">
        <f>L10-J10</f>
        <v/>
      </c>
      <c r="O10" s="28">
        <f>IF(ABS(N10)&lt;0.005,"Găng","")</f>
        <v/>
      </c>
      <c r="P10" s="24" t="inlineStr"/>
    </row>
    <row r="11">
      <c r="A11" s="28" t="inlineStr">
        <is>
          <t>G</t>
        </is>
      </c>
      <c r="B11" s="24">
        <f>PERT!B15</f>
        <v/>
      </c>
      <c r="C11" s="23" t="inlineStr">
        <is>
          <t>F</t>
        </is>
      </c>
      <c r="D11" s="54" t="n">
        <v>12</v>
      </c>
      <c r="E11" s="54" t="n">
        <v>15</v>
      </c>
      <c r="F11" s="54" t="n">
        <v>22</v>
      </c>
      <c r="G11" s="52" t="n">
        <v>0</v>
      </c>
      <c r="H11" s="38">
        <f>(D11+4*E11+F11)/6</f>
        <v/>
      </c>
      <c r="I11" s="38">
        <f>((F11-D11)/6)^2</f>
        <v/>
      </c>
      <c r="J11" s="38">
        <f>MAX(0,MAX(K10)-G11)</f>
        <v/>
      </c>
      <c r="K11" s="38">
        <f>J11+H11</f>
        <v/>
      </c>
      <c r="L11" s="38">
        <f>M11-H11</f>
        <v/>
      </c>
      <c r="M11" s="38">
        <f>MIN(L15+G15)</f>
        <v/>
      </c>
      <c r="N11" s="38">
        <f>L11-J11</f>
        <v/>
      </c>
      <c r="O11" s="28">
        <f>IF(ABS(N11)&lt;0.005,"Găng","")</f>
        <v/>
      </c>
      <c r="P11" s="24" t="inlineStr">
        <is>
          <t>Giảm phạm vi: dời API khách hàng thân thiết, nhân viên/ca (FR09–FR10) sang giai đoạn 2</t>
        </is>
      </c>
    </row>
    <row r="12">
      <c r="A12" s="28" t="inlineStr">
        <is>
          <t>H</t>
        </is>
      </c>
      <c r="B12" s="24">
        <f>PERT!B16</f>
        <v/>
      </c>
      <c r="C12" s="23" t="inlineStr">
        <is>
          <t>F</t>
        </is>
      </c>
      <c r="D12" s="51">
        <f>PERT!E16</f>
        <v/>
      </c>
      <c r="E12" s="51">
        <f>PERT!F16</f>
        <v/>
      </c>
      <c r="F12" s="51">
        <f>PERT!G16</f>
        <v/>
      </c>
      <c r="G12" s="52" t="n">
        <v>0</v>
      </c>
      <c r="H12" s="38">
        <f>(D12+4*E12+F12)/6</f>
        <v/>
      </c>
      <c r="I12" s="38">
        <f>((F12-D12)/6)^2</f>
        <v/>
      </c>
      <c r="J12" s="38">
        <f>MAX(0,MAX(K10)-G12)</f>
        <v/>
      </c>
      <c r="K12" s="38">
        <f>J12+H12</f>
        <v/>
      </c>
      <c r="L12" s="38">
        <f>M12-H12</f>
        <v/>
      </c>
      <c r="M12" s="38">
        <f>MIN(L17+G17)</f>
        <v/>
      </c>
      <c r="N12" s="38">
        <f>L12-J12</f>
        <v/>
      </c>
      <c r="O12" s="28">
        <f>IF(ABS(N12)&lt;0.005,"Găng","")</f>
        <v/>
      </c>
      <c r="P12" s="24" t="inlineStr"/>
    </row>
    <row r="13">
      <c r="A13" s="28" t="inlineStr">
        <is>
          <t>I</t>
        </is>
      </c>
      <c r="B13" s="24">
        <f>PERT!B17</f>
        <v/>
      </c>
      <c r="C13" s="23" t="inlineStr">
        <is>
          <t>E</t>
        </is>
      </c>
      <c r="D13" s="51">
        <f>PERT!E17</f>
        <v/>
      </c>
      <c r="E13" s="51">
        <f>PERT!F17</f>
        <v/>
      </c>
      <c r="F13" s="51">
        <f>PERT!G17</f>
        <v/>
      </c>
      <c r="G13" s="52" t="n">
        <v>0</v>
      </c>
      <c r="H13" s="38">
        <f>(D13+4*E13+F13)/6</f>
        <v/>
      </c>
      <c r="I13" s="38">
        <f>((F13-D13)/6)^2</f>
        <v/>
      </c>
      <c r="J13" s="38">
        <f>MAX(0,MAX(K9)-G13)</f>
        <v/>
      </c>
      <c r="K13" s="38">
        <f>J13+H13</f>
        <v/>
      </c>
      <c r="L13" s="38">
        <f>M13-H13</f>
        <v/>
      </c>
      <c r="M13" s="38">
        <f>MIN(L14+G14)</f>
        <v/>
      </c>
      <c r="N13" s="38">
        <f>L13-J13</f>
        <v/>
      </c>
      <c r="O13" s="28">
        <f>IF(ABS(N13)&lt;0.005,"Găng","")</f>
        <v/>
      </c>
      <c r="P13" s="24" t="inlineStr"/>
    </row>
    <row r="14">
      <c r="A14" s="28" t="inlineStr">
        <is>
          <t>J</t>
        </is>
      </c>
      <c r="B14" s="24">
        <f>PERT!B18</f>
        <v/>
      </c>
      <c r="C14" s="23" t="inlineStr">
        <is>
          <t>I, F</t>
        </is>
      </c>
      <c r="D14" s="54" t="n">
        <v>12</v>
      </c>
      <c r="E14" s="54" t="n">
        <v>16</v>
      </c>
      <c r="F14" s="54" t="n">
        <v>23</v>
      </c>
      <c r="G14" s="53" t="n">
        <v>3.5</v>
      </c>
      <c r="H14" s="38">
        <f>(D14+4*E14+F14)/6</f>
        <v/>
      </c>
      <c r="I14" s="38">
        <f>((F14-D14)/6)^2</f>
        <v/>
      </c>
      <c r="J14" s="38">
        <f>MAX(0,MAX(K13,K10)-G14)</f>
        <v/>
      </c>
      <c r="K14" s="38">
        <f>J14+H14</f>
        <v/>
      </c>
      <c r="L14" s="38">
        <f>M14-H14</f>
        <v/>
      </c>
      <c r="M14" s="38">
        <f>MIN(L17+G17)</f>
        <v/>
      </c>
      <c r="N14" s="38">
        <f>L14-J14</f>
        <v/>
      </c>
      <c r="O14" s="28">
        <f>IF(ABS(N14)&lt;0.005,"Găng","")</f>
        <v/>
      </c>
      <c r="P14" s="24" t="inlineStr">
        <is>
          <t>Giảm phạm vi FR09–FR10 + fast-tracking: làm màn hình trên mockup và API giả lập khi khung giao diện xong khoảng 50%</t>
        </is>
      </c>
    </row>
    <row r="15">
      <c r="A15" s="28" t="inlineStr">
        <is>
          <t>K</t>
        </is>
      </c>
      <c r="B15" s="24">
        <f>PERT!B19</f>
        <v/>
      </c>
      <c r="C15" s="23" t="inlineStr">
        <is>
          <t>G</t>
        </is>
      </c>
      <c r="D15" s="51">
        <f>PERT!E19</f>
        <v/>
      </c>
      <c r="E15" s="51">
        <f>PERT!F19</f>
        <v/>
      </c>
      <c r="F15" s="51">
        <f>PERT!G19</f>
        <v/>
      </c>
      <c r="G15" s="53" t="n">
        <v>3</v>
      </c>
      <c r="H15" s="38">
        <f>(D15+4*E15+F15)/6</f>
        <v/>
      </c>
      <c r="I15" s="38">
        <f>((F15-D15)/6)^2</f>
        <v/>
      </c>
      <c r="J15" s="38">
        <f>MAX(0,MAX(K11)-G15)</f>
        <v/>
      </c>
      <c r="K15" s="38">
        <f>J15+H15</f>
        <v/>
      </c>
      <c r="L15" s="38">
        <f>M15-H15</f>
        <v/>
      </c>
      <c r="M15" s="38">
        <f>MIN(L17+G17)</f>
        <v/>
      </c>
      <c r="N15" s="38">
        <f>L15-J15</f>
        <v/>
      </c>
      <c r="O15" s="28">
        <f>IF(ABS(N15)&lt;0.005,"Găng","")</f>
        <v/>
      </c>
      <c r="P15" s="24" t="inlineStr">
        <is>
          <t>Fast-tracking: xuất báo cáo làm khi API doanh thu, tồn kho đã xong (không chờ toàn bộ API)</t>
        </is>
      </c>
    </row>
    <row r="16">
      <c r="A16" s="28" t="inlineStr">
        <is>
          <t>L</t>
        </is>
      </c>
      <c r="B16" s="24">
        <f>PERT!B20</f>
        <v/>
      </c>
      <c r="C16" s="23" t="inlineStr">
        <is>
          <t>C</t>
        </is>
      </c>
      <c r="D16" s="51">
        <f>PERT!E20</f>
        <v/>
      </c>
      <c r="E16" s="51">
        <f>PERT!F20</f>
        <v/>
      </c>
      <c r="F16" s="51">
        <f>PERT!G20</f>
        <v/>
      </c>
      <c r="G16" s="52" t="n">
        <v>0</v>
      </c>
      <c r="H16" s="38">
        <f>(D16+4*E16+F16)/6</f>
        <v/>
      </c>
      <c r="I16" s="38">
        <f>((F16-D16)/6)^2</f>
        <v/>
      </c>
      <c r="J16" s="38">
        <f>MAX(0,MAX(K7)-G16)</f>
        <v/>
      </c>
      <c r="K16" s="38">
        <f>J16+H16</f>
        <v/>
      </c>
      <c r="L16" s="38">
        <f>M16-H16</f>
        <v/>
      </c>
      <c r="M16" s="38">
        <f>MIN(L17+G17)</f>
        <v/>
      </c>
      <c r="N16" s="38">
        <f>L16-J16</f>
        <v/>
      </c>
      <c r="O16" s="28">
        <f>IF(ABS(N16)&lt;0.005,"Găng","")</f>
        <v/>
      </c>
      <c r="P16" s="24" t="inlineStr"/>
    </row>
    <row r="17">
      <c r="A17" s="28" t="inlineStr">
        <is>
          <t>M</t>
        </is>
      </c>
      <c r="B17" s="24">
        <f>PERT!B21</f>
        <v/>
      </c>
      <c r="C17" s="23" t="inlineStr">
        <is>
          <t>J, K, H, L</t>
        </is>
      </c>
      <c r="D17" s="51">
        <f>PERT!E21</f>
        <v/>
      </c>
      <c r="E17" s="51">
        <f>PERT!F21</f>
        <v/>
      </c>
      <c r="F17" s="51">
        <f>PERT!G21</f>
        <v/>
      </c>
      <c r="G17" s="53" t="n">
        <v>5</v>
      </c>
      <c r="H17" s="38">
        <f>(D17+4*E17+F17)/6</f>
        <v/>
      </c>
      <c r="I17" s="38">
        <f>((F17-D17)/6)^2</f>
        <v/>
      </c>
      <c r="J17" s="38">
        <f>MAX(0,MAX(K14,K15,K12,K16)-G17)</f>
        <v/>
      </c>
      <c r="K17" s="38">
        <f>J17+H17</f>
        <v/>
      </c>
      <c r="L17" s="38">
        <f>M17-H17</f>
        <v/>
      </c>
      <c r="M17" s="38">
        <f>MIN(L18+G18)</f>
        <v/>
      </c>
      <c r="N17" s="38">
        <f>L17-J17</f>
        <v/>
      </c>
      <c r="O17" s="28">
        <f>IF(ABS(N17)&lt;0.005,"Găng","")</f>
        <v/>
      </c>
      <c r="P17" s="24" t="inlineStr">
        <is>
          <t>Fast-tracking: kiểm thử theo từng module xong trước, chồng 5 ngày cuối giai đoạn phát triển</t>
        </is>
      </c>
    </row>
    <row r="18">
      <c r="A18" s="28" t="inlineStr">
        <is>
          <t>N</t>
        </is>
      </c>
      <c r="B18" s="24">
        <f>PERT!B22</f>
        <v/>
      </c>
      <c r="C18" s="23" t="inlineStr">
        <is>
          <t>M</t>
        </is>
      </c>
      <c r="D18" s="51">
        <f>PERT!E22</f>
        <v/>
      </c>
      <c r="E18" s="51">
        <f>PERT!F22</f>
        <v/>
      </c>
      <c r="F18" s="51">
        <f>PERT!G22</f>
        <v/>
      </c>
      <c r="G18" s="52" t="n">
        <v>0</v>
      </c>
      <c r="H18" s="38">
        <f>(D18+4*E18+F18)/6</f>
        <v/>
      </c>
      <c r="I18" s="38">
        <f>((F18-D18)/6)^2</f>
        <v/>
      </c>
      <c r="J18" s="38">
        <f>MAX(0,MAX(K17)-G18)</f>
        <v/>
      </c>
      <c r="K18" s="38">
        <f>J18+H18</f>
        <v/>
      </c>
      <c r="L18" s="38">
        <f>M18-H18</f>
        <v/>
      </c>
      <c r="M18" s="38">
        <f>MIN(L19+G19)</f>
        <v/>
      </c>
      <c r="N18" s="38">
        <f>L18-J18</f>
        <v/>
      </c>
      <c r="O18" s="28">
        <f>IF(ABS(N18)&lt;0.005,"Găng","")</f>
        <v/>
      </c>
      <c r="P18" s="24" t="inlineStr"/>
    </row>
    <row r="19">
      <c r="A19" s="28" t="inlineStr">
        <is>
          <t>O</t>
        </is>
      </c>
      <c r="B19" s="24">
        <f>PERT!B23</f>
        <v/>
      </c>
      <c r="C19" s="23" t="inlineStr">
        <is>
          <t>N</t>
        </is>
      </c>
      <c r="D19" s="51">
        <f>PERT!E23</f>
        <v/>
      </c>
      <c r="E19" s="51">
        <f>PERT!F23</f>
        <v/>
      </c>
      <c r="F19" s="51">
        <f>PERT!G23</f>
        <v/>
      </c>
      <c r="G19" s="52" t="n">
        <v>0</v>
      </c>
      <c r="H19" s="38">
        <f>(D19+4*E19+F19)/6</f>
        <v/>
      </c>
      <c r="I19" s="38">
        <f>((F19-D19)/6)^2</f>
        <v/>
      </c>
      <c r="J19" s="38">
        <f>MAX(0,MAX(K18)-G19)</f>
        <v/>
      </c>
      <c r="K19" s="38">
        <f>J19+H19</f>
        <v/>
      </c>
      <c r="L19" s="38">
        <f>M19-H19</f>
        <v/>
      </c>
      <c r="M19" s="38">
        <f>$C$22</f>
        <v/>
      </c>
      <c r="N19" s="38">
        <f>L19-J19</f>
        <v/>
      </c>
      <c r="O19" s="28">
        <f>IF(ABS(N19)&lt;0.005,"Găng","")</f>
        <v/>
      </c>
      <c r="P19" s="24" t="inlineStr"/>
    </row>
    <row r="21">
      <c r="A21" s="1" t="inlineStr">
        <is>
          <t>KẾT QUẢ SAU KHI NÉN</t>
        </is>
      </c>
    </row>
    <row r="22">
      <c r="A22" s="26" t="inlineStr">
        <is>
          <t>Thời gian dự án T mới (ngày làm việc)</t>
        </is>
      </c>
      <c r="B22" s="41" t="n"/>
      <c r="C22" s="42">
        <f>MAX(K5:K19)</f>
        <v/>
      </c>
    </row>
    <row r="23">
      <c r="A23" s="26" t="inlineStr">
        <is>
          <t>Đường găng mới</t>
        </is>
      </c>
      <c r="B23" s="41" t="n"/>
      <c r="C23" s="26">
        <f>LEFT(IF(O5="Găng","A → ","")&amp;IF(O6="Găng","B → ","")&amp;IF(O7="Găng","C → ","")&amp;IF(O8="Găng","D → ","")&amp;IF(O9="Găng","E → ","")&amp;IF(O10="Găng","F → ","")&amp;IF(O11="Găng","G → ","")&amp;IF(O12="Găng","H → ","")&amp;IF(O13="Găng","I → ","")&amp;IF(O14="Găng","J → ","")&amp;IF(O15="Găng","K → ","")&amp;IF(O16="Găng","L → ","")&amp;IF(O17="Găng","M → ","")&amp;IF(O18="Găng","N → ","")&amp;IF(O19="Găng","O → ",""),LEN(IF(O5="Găng","A → ","")&amp;IF(O6="Găng","B → ","")&amp;IF(O7="Găng","C → ","")&amp;IF(O8="Găng","D → ","")&amp;IF(O9="Găng","E → ","")&amp;IF(O10="Găng","F → ","")&amp;IF(O11="Găng","G → ","")&amp;IF(O12="Găng","H → ","")&amp;IF(O13="Găng","I → ","")&amp;IF(O14="Găng","J → ","")&amp;IF(O15="Găng","K → ","")&amp;IF(O16="Găng","L → ","")&amp;IF(O17="Găng","M → ","")&amp;IF(O18="Găng","N → ","")&amp;IF(O19="Găng","O → ",""))-3)</f>
        <v/>
      </c>
      <c r="D23" s="43" t="n"/>
      <c r="E23" s="43" t="n"/>
      <c r="F23" s="43" t="n"/>
      <c r="G23" s="43" t="n"/>
      <c r="H23" s="43" t="n"/>
      <c r="I23" s="43" t="n"/>
      <c r="J23" s="44" t="n"/>
    </row>
    <row r="24">
      <c r="A24" s="26" t="inlineStr">
        <is>
          <t>Độ lệch chuẩn đường găng σ</t>
        </is>
      </c>
      <c r="B24" s="41" t="n"/>
      <c r="C24" s="42">
        <f>SQRT(SUMIF(O5:O19,"Găng",I5:I19))</f>
        <v/>
      </c>
    </row>
    <row r="25">
      <c r="A25" s="26" t="inlineStr">
        <is>
          <t>Số ngày làm việc tới hạn chót</t>
        </is>
      </c>
      <c r="B25" s="41" t="n"/>
      <c r="C25" s="29">
        <f>PERT!C5</f>
        <v/>
      </c>
    </row>
    <row r="26">
      <c r="A26" s="26" t="inlineStr">
        <is>
          <t>Dự trữ so với hạn chót (ngày)</t>
        </is>
      </c>
      <c r="B26" s="41" t="n"/>
      <c r="C26" s="42">
        <f>C25-C22</f>
        <v/>
      </c>
    </row>
    <row r="27">
      <c r="A27" s="26" t="inlineStr">
        <is>
          <t>Xác suất kịp hạn P(Z)</t>
        </is>
      </c>
      <c r="B27" s="41" t="n"/>
      <c r="C27" s="35">
        <f>NORMSDIST((C25-C22)/C24)</f>
        <v/>
      </c>
    </row>
    <row r="28">
      <c r="A28" s="26" t="inlineStr">
        <is>
          <t>Ngày kết thúc dự kiến</t>
        </is>
      </c>
      <c r="B28" s="41" t="n"/>
      <c r="C28" s="46">
        <f>WORKDAY(PERT!C3,ROUNDUP(C22,0)-1)</f>
        <v/>
      </c>
    </row>
    <row r="29">
      <c r="A29" s="26" t="inlineStr">
        <is>
          <t>T lịch gốc (sheet PERT) / số ngày rút ngắn</t>
        </is>
      </c>
      <c r="B29" s="41" t="n"/>
      <c r="C29" s="42">
        <f>PERT!$C$26</f>
        <v/>
      </c>
      <c r="D29" s="42">
        <f>C29-C22</f>
        <v/>
      </c>
    </row>
  </sheetData>
  <mergeCells count="10">
    <mergeCell ref="A26:B26"/>
    <mergeCell ref="A24:B24"/>
    <mergeCell ref="A29:B29"/>
    <mergeCell ref="A25:B25"/>
    <mergeCell ref="A28:B28"/>
    <mergeCell ref="A23:B23"/>
    <mergeCell ref="A27:B27"/>
    <mergeCell ref="C23:J23"/>
    <mergeCell ref="A22:B22"/>
    <mergeCell ref="A2:P2"/>
  </mergeCells>
  <conditionalFormatting sqref="A5:O19">
    <cfRule type="expression" priority="1" dxfId="0">
      <formula>$O5="Găng"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30" customWidth="1" min="3" max="3"/>
    <col width="30" customWidth="1" min="4" max="4"/>
    <col width="13" customWidth="1" min="5" max="5"/>
    <col width="8" customWidth="1" min="6" max="6"/>
    <col width="8" customWidth="1" min="7" max="7"/>
    <col width="7" customWidth="1" min="8" max="8"/>
    <col width="11" customWidth="1" min="9" max="9"/>
    <col width="11" customWidth="1" min="10" max="10"/>
    <col width="44" customWidth="1" min="11" max="11"/>
    <col width="13" customWidth="1" min="12" max="12"/>
    <col width="12" customWidth="1" min="13" max="13"/>
  </cols>
  <sheetData>
    <row r="1">
      <c r="A1" s="1" t="inlineStr">
        <is>
          <t>SỔ ĐĂNG KÝ RỦI RO (RISK REGISTER) – sắp theo điểm giảm dần</t>
        </is>
      </c>
    </row>
    <row r="2">
      <c r="A2" s="2" t="inlineStr">
        <is>
          <t>Mô tả theo cấu trúc Nguyên nhân – Sự kiện – Hậu quả. XS, TĐ thang 1–5; Điểm = XS × TĐ; ≥15 Cao, 8–14 Trung bình, &lt;8 Thấp.</t>
        </is>
      </c>
    </row>
    <row r="4" ht="30" customHeight="1">
      <c r="A4" s="7" t="inlineStr">
        <is>
          <t>ID</t>
        </is>
      </c>
      <c r="B4" s="7" t="inlineStr">
        <is>
          <t>Nguyên nhân</t>
        </is>
      </c>
      <c r="C4" s="7" t="inlineStr">
        <is>
          <t>Sự kiện rủi ro</t>
        </is>
      </c>
      <c r="D4" s="7" t="inlineStr">
        <is>
          <t>Hậu quả</t>
        </is>
      </c>
      <c r="E4" s="7" t="inlineStr">
        <is>
          <t>Nhóm</t>
        </is>
      </c>
      <c r="F4" s="7" t="inlineStr">
        <is>
          <t>XS (1–5)</t>
        </is>
      </c>
      <c r="G4" s="7" t="inlineStr">
        <is>
          <t>TĐ (1–5)</t>
        </is>
      </c>
      <c r="H4" s="7" t="inlineStr">
        <is>
          <t>Điểm</t>
        </is>
      </c>
      <c r="I4" s="7" t="inlineStr">
        <is>
          <t>Mức</t>
        </is>
      </c>
      <c r="J4" s="7" t="inlineStr">
        <is>
          <t>Chiến lược</t>
        </is>
      </c>
      <c r="K4" s="7" t="inlineStr">
        <is>
          <t>Hành động ứng phó</t>
        </is>
      </c>
      <c r="L4" s="7" t="inlineStr">
        <is>
          <t>Người phụ trách</t>
        </is>
      </c>
      <c r="M4" s="7" t="inlineStr">
        <is>
          <t>Nguồn</t>
        </is>
      </c>
    </row>
    <row r="5">
      <c r="A5" s="55" t="inlineStr">
        <is>
          <t>R01</t>
        </is>
      </c>
      <c r="B5" s="24" t="inlineStr">
        <is>
          <t>Phần mềm bán hàng hiện tại của nhà thuốc chưa rõ nhà cung cấp, có thể không có API hoặc không cho xuất dữ liệu tự động</t>
        </is>
      </c>
      <c r="C5" s="24" t="inlineStr">
        <is>
          <t>Không đồng bộ được dữ liệu bán hàng vào PharmaDash đúng hạn</t>
        </is>
      </c>
      <c r="D5" s="24" t="inlineStr">
        <is>
          <t>Dashboard không có số liệu thật, trễ go-live, mục tiêu "dữ liệu trễ ≤ 1 phút" không đạt</t>
        </is>
      </c>
      <c r="E5" s="24" t="inlineStr">
        <is>
          <t>Bên ngoài / Kỹ thuật</t>
        </is>
      </c>
      <c r="F5" s="56" t="n">
        <v>4</v>
      </c>
      <c r="G5" s="56" t="n">
        <v>5</v>
      </c>
      <c r="H5" s="57">
        <f>F5*G5</f>
        <v/>
      </c>
      <c r="I5" s="28">
        <f>IF(H5&gt;=15,"Cao",IF(H5&gt;=8,"Trung bình","Thấp"))</f>
        <v/>
      </c>
      <c r="J5" s="24" t="inlineStr">
        <is>
          <t>Giảm</t>
        </is>
      </c>
      <c r="K5" s="24" t="inlineStr">
        <is>
          <t>Khảo sát phần mềm bán hàng ngay tuần 1; làm việc với nhà cung cấp phần mềm; chuẩn bị phương án dự phòng nhập file Excel xuất từ phần mềm bán hàng theo lịch (mỗi 15 phút / cuối ca)</t>
        </is>
      </c>
      <c r="L5" s="24" t="inlineStr">
        <is>
          <t>BE + BA</t>
        </is>
      </c>
      <c r="M5" s="23" t="inlineStr">
        <is>
          <t>AI gợi ý</t>
        </is>
      </c>
    </row>
    <row r="6">
      <c r="A6" s="55" t="inlineStr">
        <is>
          <t>R02</t>
        </is>
      </c>
      <c r="B6" s="24" t="inlineStr">
        <is>
          <t>Ước lượng PERT cho thấy đường găng dài hơn số ngày làm việc tới hạn chót 31/12</t>
        </is>
      </c>
      <c r="C6" s="24" t="inlineStr">
        <is>
          <t>Dự án không kịp go-live trước hạn</t>
        </is>
      </c>
      <c r="D6" s="24" t="inlineStr">
        <is>
          <t>Không kịp dùng cho đợt kiểm kê cuối năm và cao điểm Tết, phát sinh chi phí kéo dài</t>
        </is>
      </c>
      <c r="E6" s="24" t="inlineStr">
        <is>
          <t>Lịch trình</t>
        </is>
      </c>
      <c r="F6" s="56" t="n">
        <v>4</v>
      </c>
      <c r="G6" s="56" t="n">
        <v>4</v>
      </c>
      <c r="H6" s="57">
        <f>F6*G6</f>
        <v/>
      </c>
      <c r="I6" s="28">
        <f>IF(H6&gt;=15,"Cao",IF(H6&gt;=8,"Trung bình","Thấp"))</f>
        <v/>
      </c>
      <c r="J6" s="24" t="inlineStr">
        <is>
          <t>Giảm</t>
        </is>
      </c>
      <c r="K6" s="24" t="inlineStr">
        <is>
          <t>Nén lịch bằng fast-tracking (làm song song FE/BE, kiểm thử theo từng module) và/hoặc crashing (bổ sung nhân lực bán thời gian); cắt tính năng "Có thể có"</t>
        </is>
      </c>
      <c r="L6" s="24" t="inlineStr">
        <is>
          <t>PM</t>
        </is>
      </c>
      <c r="M6" s="23" t="inlineStr">
        <is>
          <t>AI gợi ý</t>
        </is>
      </c>
    </row>
    <row r="7">
      <c r="A7" s="55" t="inlineStr">
        <is>
          <t>R03</t>
        </is>
      </c>
      <c r="B7" s="24" t="inlineStr">
        <is>
          <t>Chủ nhà thuốc xem demo cuối mỗi tháng và thường phát sinh ý tưởng mới</t>
        </is>
      </c>
      <c r="C7" s="24" t="inlineStr">
        <is>
          <t>Yêu cầu thay đổi, phạm vi phình ra (scope creep)</t>
        </is>
      </c>
      <c r="D7" s="24" t="inlineStr">
        <is>
          <t>Tăng khối lượng công việc, trễ tiến độ, vượt ngân sách</t>
        </is>
      </c>
      <c r="E7" s="24" t="inlineStr">
        <is>
          <t>Khách hàng / Yêu cầu</t>
        </is>
      </c>
      <c r="F7" s="56" t="n">
        <v>4</v>
      </c>
      <c r="G7" s="56" t="n">
        <v>4</v>
      </c>
      <c r="H7" s="57">
        <f>F7*G7</f>
        <v/>
      </c>
      <c r="I7" s="28">
        <f>IF(H7&gt;=15,"Cao",IF(H7&gt;=8,"Trung bình","Thấp"))</f>
        <v/>
      </c>
      <c r="J7" s="24" t="inlineStr">
        <is>
          <t>Tránh</t>
        </is>
      </c>
      <c r="K7" s="24" t="inlineStr">
        <is>
          <t>Thống nhất phạm vi trong Charter/SRS; quy trình kiểm soát thay đổi (Change Request) có đánh giá tác động thời gian – chi phí; đưa yêu cầu mới vào giai đoạn 2</t>
        </is>
      </c>
      <c r="L7" s="24" t="inlineStr">
        <is>
          <t>PM</t>
        </is>
      </c>
      <c r="M7" s="23" t="inlineStr">
        <is>
          <t>AI gợi ý</t>
        </is>
      </c>
    </row>
    <row r="8">
      <c r="A8" s="55" t="inlineStr">
        <is>
          <t>R04</t>
        </is>
      </c>
      <c r="B8" s="24" t="inlineStr">
        <is>
          <t>Dữ liệu cũ quản lý bằng Excel: mã thuốc trùng, thiếu số lô, thiếu hạn dùng, sai đơn vị tính</t>
        </is>
      </c>
      <c r="C8" s="24" t="inlineStr">
        <is>
          <t>Chuyển đổi dữ liệu sai hoặc thiếu</t>
        </is>
      </c>
      <c r="D8" s="24" t="inlineStr">
        <is>
          <t>Cảnh báo hạn dùng và tồn kho sai, người dùng mất niềm tin vào hệ thống</t>
        </is>
      </c>
      <c r="E8" s="24" t="inlineStr">
        <is>
          <t>Kỹ thuật / Dữ liệu</t>
        </is>
      </c>
      <c r="F8" s="56" t="n">
        <v>4</v>
      </c>
      <c r="G8" s="56" t="n">
        <v>4</v>
      </c>
      <c r="H8" s="57">
        <f>F8*G8</f>
        <v/>
      </c>
      <c r="I8" s="28">
        <f>IF(H8&gt;=15,"Cao",IF(H8&gt;=8,"Trung bình","Thấp"))</f>
        <v/>
      </c>
      <c r="J8" s="24" t="inlineStr">
        <is>
          <t>Giảm</t>
        </is>
      </c>
      <c r="K8" s="24" t="inlineStr">
        <is>
          <t>Viết script kiểm tra chất lượng dữ liệu; làm sạch dữ liệu cùng dược sĩ phụ trách kho; đối soát tồn kho thực tế trước go-live</t>
        </is>
      </c>
      <c r="L8" s="24" t="inlineStr">
        <is>
          <t>BE + BA</t>
        </is>
      </c>
      <c r="M8" s="23" t="inlineStr">
        <is>
          <t>AI gợi ý</t>
        </is>
      </c>
    </row>
    <row r="9">
      <c r="A9" s="55" t="inlineStr">
        <is>
          <t>R05</t>
        </is>
      </c>
      <c r="B9" s="24" t="inlineStr">
        <is>
          <t>Chỉ có 1 lập trình viên backend với khối lượng khoảng 460 giờ trên tổng khoảng 520 giờ khả dụng</t>
        </is>
      </c>
      <c r="C9" s="24" t="inlineStr">
        <is>
          <t>Lập trình viên backend quá tải, ốm hoặc nghỉ việc</t>
        </is>
      </c>
      <c r="D9" s="24" t="inlineStr">
        <is>
          <t>API trễ, kéo theo frontend và kiểm thử trễ (nằm trên đường gần găng)</t>
        </is>
      </c>
      <c r="E9" s="24" t="inlineStr">
        <is>
          <t>Con người</t>
        </is>
      </c>
      <c r="F9" s="56" t="n">
        <v>3</v>
      </c>
      <c r="G9" s="56" t="n">
        <v>5</v>
      </c>
      <c r="H9" s="57">
        <f>F9*G9</f>
        <v/>
      </c>
      <c r="I9" s="28">
        <f>IF(H9&gt;=15,"Cao",IF(H9&gt;=8,"Trung bình","Thấp"))</f>
        <v/>
      </c>
      <c r="J9" s="24" t="inlineStr">
        <is>
          <t>Giảm</t>
        </is>
      </c>
      <c r="K9" s="24" t="inlineStr">
        <is>
          <t>Lập trình viên frontend hỗ trợ API đơn giản; code review chéo; tài liệu hóa API; theo dõi khối lượng hằng tuần</t>
        </is>
      </c>
      <c r="L9" s="24" t="inlineStr">
        <is>
          <t>PM</t>
        </is>
      </c>
      <c r="M9" s="23" t="inlineStr">
        <is>
          <t>AI gợi ý</t>
        </is>
      </c>
    </row>
    <row r="10">
      <c r="A10" s="55" t="inlineStr">
        <is>
          <t>R06</t>
        </is>
      </c>
      <c r="B10" s="24" t="inlineStr">
        <is>
          <t>Hệ thống chứa thông tin khách hàng (họ tên, SĐT, lịch sử mua thuốc) và giá nhập, lợi nhuận</t>
        </is>
      </c>
      <c r="C10" s="24" t="inlineStr">
        <is>
          <t>Lộ dữ liệu do phân quyền sai hoặc tấn công</t>
        </is>
      </c>
      <c r="D10" s="24" t="inlineStr">
        <is>
          <t>Vi phạm quy định bảo vệ dữ liệu cá nhân, mất uy tín, rò rỉ bí mật kinh doanh</t>
        </is>
      </c>
      <c r="E10" s="24" t="inlineStr">
        <is>
          <t>Bảo mật / Pháp lý</t>
        </is>
      </c>
      <c r="F10" s="56" t="n">
        <v>2</v>
      </c>
      <c r="G10" s="56" t="n">
        <v>5</v>
      </c>
      <c r="H10" s="57">
        <f>F10*G10</f>
        <v/>
      </c>
      <c r="I10" s="28">
        <f>IF(H10&gt;=15,"Cao",IF(H10&gt;=8,"Trung bình","Thấp"))</f>
        <v/>
      </c>
      <c r="J10" s="24" t="inlineStr">
        <is>
          <t>Giảm</t>
        </is>
      </c>
      <c r="K10" s="24" t="inlineStr">
        <is>
          <t>Phân quyền kiểm tra ở máy chủ; HTTPS; mã hóa mật khẩu; kiểm thử phân quyền riêng; sao lưu có mã hóa</t>
        </is>
      </c>
      <c r="L10" s="24" t="inlineStr">
        <is>
          <t>BE + QA</t>
        </is>
      </c>
      <c r="M10" s="23" t="inlineStr">
        <is>
          <t>AI gợi ý</t>
        </is>
      </c>
    </row>
    <row r="11">
      <c r="A11" s="55" t="inlineStr">
        <is>
          <t>R07</t>
        </is>
      </c>
      <c r="B11" s="24" t="inlineStr">
        <is>
          <t>Nhân viên quen thao tác giấy và Excel, ít thời gian học phần mềm mới</t>
        </is>
      </c>
      <c r="C11" s="24" t="inlineStr">
        <is>
          <t>Người dùng không sử dụng hoặc dùng sai hệ thống</t>
        </is>
      </c>
      <c r="D11" s="24" t="inlineStr">
        <is>
          <t>Dữ liệu không được cập nhật, hệ thống không mang lại giá trị</t>
        </is>
      </c>
      <c r="E11" s="24" t="inlineStr">
        <is>
          <t>Con người / Khách hàng</t>
        </is>
      </c>
      <c r="F11" s="56" t="n">
        <v>3</v>
      </c>
      <c r="G11" s="56" t="n">
        <v>3</v>
      </c>
      <c r="H11" s="57">
        <f>F11*G11</f>
        <v/>
      </c>
      <c r="I11" s="28">
        <f>IF(H11&gt;=15,"Cao",IF(H11&gt;=8,"Trung bình","Thấp"))</f>
        <v/>
      </c>
      <c r="J11" s="24" t="inlineStr">
        <is>
          <t>Giảm</t>
        </is>
      </c>
      <c r="K11" s="24" t="inlineStr">
        <is>
          <t>Giao diện đơn giản; đào tạo tại từng chi nhánh; chọn 1 người dùng chủ chốt (key user) mỗi chi nhánh</t>
        </is>
      </c>
      <c r="L11" s="24" t="inlineStr">
        <is>
          <t>BA</t>
        </is>
      </c>
      <c r="M11" s="23" t="inlineStr">
        <is>
          <t>AI gợi ý</t>
        </is>
      </c>
    </row>
    <row r="12">
      <c r="A12" s="55" t="inlineStr">
        <is>
          <t>R08</t>
        </is>
      </c>
      <c r="B12" s="24" t="inlineStr">
        <is>
          <t>Dữ liệu 2 năm bán hàng (hàng trăm nghìn dòng) và truy vấn thống kê phức tạp</t>
        </is>
      </c>
      <c r="C12" s="24" t="inlineStr">
        <is>
          <t>Dashboard phản hồi chậm hơn 2 giây</t>
        </is>
      </c>
      <c r="D12" s="24" t="inlineStr">
        <is>
          <t>Trải nghiệm kém, không đạt yêu cầu phi chức năng</t>
        </is>
      </c>
      <c r="E12" s="24" t="inlineStr">
        <is>
          <t>Kỹ thuật</t>
        </is>
      </c>
      <c r="F12" s="56" t="n">
        <v>3</v>
      </c>
      <c r="G12" s="56" t="n">
        <v>3</v>
      </c>
      <c r="H12" s="57">
        <f>F12*G12</f>
        <v/>
      </c>
      <c r="I12" s="28">
        <f>IF(H12&gt;=15,"Cao",IF(H12&gt;=8,"Trung bình","Thấp"))</f>
        <v/>
      </c>
      <c r="J12" s="24" t="inlineStr">
        <is>
          <t>Giảm</t>
        </is>
      </c>
      <c r="K12" s="24" t="inlineStr">
        <is>
          <t>Tạo chỉ mục CSDL, bảng tổng hợp theo ngày; kiểm thử hiệu năng với dữ liệu thật từ sớm</t>
        </is>
      </c>
      <c r="L12" s="24" t="inlineStr">
        <is>
          <t>BE</t>
        </is>
      </c>
      <c r="M12" s="23" t="inlineStr">
        <is>
          <t>AI gợi ý</t>
        </is>
      </c>
    </row>
    <row r="13">
      <c r="A13" s="55" t="inlineStr">
        <is>
          <t>R09</t>
        </is>
      </c>
      <c r="B13" s="24" t="inlineStr">
        <is>
          <t>Quy định ngành dược (GPP, thuốc kê đơn) có thể yêu cầu lưu trữ hoặc báo cáo đặc thù chưa nêu trong yêu cầu</t>
        </is>
      </c>
      <c r="C13" s="24" t="inlineStr">
        <is>
          <t>Phát sinh yêu cầu bắt buộc muộn</t>
        </is>
      </c>
      <c r="D13" s="24" t="inlineStr">
        <is>
          <t>Phải làm thêm chức năng, trễ tiến độ</t>
        </is>
      </c>
      <c r="E13" s="24" t="inlineStr">
        <is>
          <t>Khách hàng / Pháp lý</t>
        </is>
      </c>
      <c r="F13" s="56" t="n">
        <v>2</v>
      </c>
      <c r="G13" s="56" t="n">
        <v>4</v>
      </c>
      <c r="H13" s="57">
        <f>F13*G13</f>
        <v/>
      </c>
      <c r="I13" s="28">
        <f>IF(H13&gt;=15,"Cao",IF(H13&gt;=8,"Trung bình","Thấp"))</f>
        <v/>
      </c>
      <c r="J13" s="24" t="inlineStr">
        <is>
          <t>Giảm</t>
        </is>
      </c>
      <c r="K13" s="24" t="inlineStr">
        <is>
          <t>Hỏi rõ với chủ nhà thuốc và dược sĩ phụ trách chuyên môn ngay khi khảo sát; ghi nhận vào SRS</t>
        </is>
      </c>
      <c r="L13" s="24" t="inlineStr">
        <is>
          <t>BA</t>
        </is>
      </c>
      <c r="M13" s="23" t="inlineStr">
        <is>
          <t>AI gợi ý</t>
        </is>
      </c>
    </row>
    <row r="14">
      <c r="A14" s="55" t="inlineStr">
        <is>
          <t>R10</t>
        </is>
      </c>
      <c r="B14" s="24" t="inlineStr">
        <is>
          <t>Hệ thống chạy trên máy chủ thuê ngoài, mạng Internet tại chi nhánh không ổn định</t>
        </is>
      </c>
      <c r="C14" s="24" t="inlineStr">
        <is>
          <t>Máy chủ hoặc mạng gặp sự cố</t>
        </is>
      </c>
      <c r="D14" s="24" t="inlineStr">
        <is>
          <t>Không truy cập được dashboard trong giờ bán hàng</t>
        </is>
      </c>
      <c r="E14" s="24" t="inlineStr">
        <is>
          <t>Bên ngoài / Hạ tầng</t>
        </is>
      </c>
      <c r="F14" s="56" t="n">
        <v>2</v>
      </c>
      <c r="G14" s="56" t="n">
        <v>3</v>
      </c>
      <c r="H14" s="57">
        <f>F14*G14</f>
        <v/>
      </c>
      <c r="I14" s="28">
        <f>IF(H14&gt;=15,"Cao",IF(H14&gt;=8,"Trung bình","Thấp"))</f>
        <v/>
      </c>
      <c r="J14" s="24" t="inlineStr">
        <is>
          <t>Chuyển giao</t>
        </is>
      </c>
      <c r="K14" s="24" t="inlineStr">
        <is>
          <t>Chọn nhà cung cấp VPS có cam kết SLA 99,9% trong hợp đồng; sao lưu hằng ngày; hướng dẫn phương án xử lý sự cố</t>
        </is>
      </c>
      <c r="L14" s="24" t="inlineStr">
        <is>
          <t>BE</t>
        </is>
      </c>
      <c r="M14" s="23" t="inlineStr">
        <is>
          <t>AI gợi ý</t>
        </is>
      </c>
    </row>
    <row r="15" ht="40" customHeight="1">
      <c r="A15" s="26" t="inlineStr">
        <is>
          <t>R11</t>
        </is>
      </c>
      <c r="B15" s="58" t="n"/>
      <c r="C15" s="58" t="n"/>
      <c r="D15" s="58" t="n"/>
      <c r="E15" s="58" t="n"/>
      <c r="F15" s="58" t="n"/>
      <c r="G15" s="58" t="n"/>
      <c r="H15" s="58">
        <f>IF(OR(F15="",G15=""),"",F15*G15)</f>
        <v/>
      </c>
      <c r="I15" s="58">
        <f>IF(H15="","",IF(H15&gt;=15,"Cao",IF(H15&gt;=8,"Trung bình","Thấp")))</f>
        <v/>
      </c>
      <c r="J15" s="58" t="n"/>
      <c r="K15" s="58" t="n"/>
      <c r="L15" s="58" t="n"/>
      <c r="M15" s="58" t="inlineStr">
        <is>
          <t>Nhóm bổ sung</t>
        </is>
      </c>
    </row>
    <row r="16" ht="40" customHeight="1">
      <c r="A16" s="26" t="inlineStr">
        <is>
          <t>R12</t>
        </is>
      </c>
      <c r="B16" s="58" t="n"/>
      <c r="C16" s="58" t="n"/>
      <c r="D16" s="58" t="n"/>
      <c r="E16" s="58" t="n"/>
      <c r="F16" s="58" t="n"/>
      <c r="G16" s="58" t="n"/>
      <c r="H16" s="58">
        <f>IF(OR(F16="",G16=""),"",F16*G16)</f>
        <v/>
      </c>
      <c r="I16" s="58">
        <f>IF(H16="","",IF(H16&gt;=15,"Cao",IF(H16&gt;=8,"Trung bình","Thấp")))</f>
        <v/>
      </c>
      <c r="J16" s="58" t="n"/>
      <c r="K16" s="58" t="n"/>
      <c r="L16" s="58" t="n"/>
      <c r="M16" s="58" t="inlineStr">
        <is>
          <t>Nhóm bổ sung</t>
        </is>
      </c>
    </row>
  </sheetData>
  <conditionalFormatting sqref="I5:I16">
    <cfRule type="expression" priority="1" dxfId="5">
      <formula>I5="Cao"</formula>
    </cfRule>
    <cfRule type="expression" priority="2" dxfId="6">
      <formula>I5="Trung bình"</formula>
    </cfRule>
    <cfRule type="expression" priority="3" dxfId="7">
      <formula>I5="Thấp"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MA TRẬN XÁC SUẤT × TÁC ĐỘNG (5×5) – tự cập nhật từ sheet RuiRo</t>
        </is>
      </c>
    </row>
    <row r="3">
      <c r="C3" s="59" t="inlineStr">
        <is>
          <t>TÁC ĐỘNG →</t>
        </is>
      </c>
    </row>
    <row r="4">
      <c r="C4" s="7" t="n">
        <v>1</v>
      </c>
      <c r="D4" s="7" t="n">
        <v>2</v>
      </c>
      <c r="E4" s="7" t="n">
        <v>3</v>
      </c>
      <c r="F4" s="7" t="n">
        <v>4</v>
      </c>
      <c r="G4" s="7" t="n">
        <v>5</v>
      </c>
    </row>
    <row r="5" ht="42" customHeight="1">
      <c r="A5" s="3" t="inlineStr">
        <is>
          <t>XÁC SUẤT ↓</t>
        </is>
      </c>
      <c r="B5" s="7" t="n">
        <v>5</v>
      </c>
      <c r="C5" s="60">
        <f>TRIM(IF(AND(RuiRo!$F$5=5,RuiRo!$G$5=1),RuiRo!$A$5&amp;" ","")&amp;IF(AND(RuiRo!$F$6=5,RuiRo!$G$6=1),RuiRo!$A$6&amp;" ","")&amp;IF(AND(RuiRo!$F$7=5,RuiRo!$G$7=1),RuiRo!$A$7&amp;" ","")&amp;IF(AND(RuiRo!$F$8=5,RuiRo!$G$8=1),RuiRo!$A$8&amp;" ","")&amp;IF(AND(RuiRo!$F$9=5,RuiRo!$G$9=1),RuiRo!$A$9&amp;" ","")&amp;IF(AND(RuiRo!$F$10=5,RuiRo!$G$10=1),RuiRo!$A$10&amp;" ","")&amp;IF(AND(RuiRo!$F$11=5,RuiRo!$G$11=1),RuiRo!$A$11&amp;" ","")&amp;IF(AND(RuiRo!$F$12=5,RuiRo!$G$12=1),RuiRo!$A$12&amp;" ","")&amp;IF(AND(RuiRo!$F$13=5,RuiRo!$G$13=1),RuiRo!$A$13&amp;" ","")&amp;IF(AND(RuiRo!$F$14=5,RuiRo!$G$14=1),RuiRo!$A$14&amp;" ","")&amp;IF(AND(RuiRo!$F$15=5,RuiRo!$G$15=1),RuiRo!$A$15&amp;" ","")&amp;IF(AND(RuiRo!$F$16=5,RuiRo!$G$16=1),RuiRo!$A$16&amp;" ",""))</f>
        <v/>
      </c>
      <c r="D5" s="61">
        <f>TRIM(IF(AND(RuiRo!$F$5=5,RuiRo!$G$5=2),RuiRo!$A$5&amp;" ","")&amp;IF(AND(RuiRo!$F$6=5,RuiRo!$G$6=2),RuiRo!$A$6&amp;" ","")&amp;IF(AND(RuiRo!$F$7=5,RuiRo!$G$7=2),RuiRo!$A$7&amp;" ","")&amp;IF(AND(RuiRo!$F$8=5,RuiRo!$G$8=2),RuiRo!$A$8&amp;" ","")&amp;IF(AND(RuiRo!$F$9=5,RuiRo!$G$9=2),RuiRo!$A$9&amp;" ","")&amp;IF(AND(RuiRo!$F$10=5,RuiRo!$G$10=2),RuiRo!$A$10&amp;" ","")&amp;IF(AND(RuiRo!$F$11=5,RuiRo!$G$11=2),RuiRo!$A$11&amp;" ","")&amp;IF(AND(RuiRo!$F$12=5,RuiRo!$G$12=2),RuiRo!$A$12&amp;" ","")&amp;IF(AND(RuiRo!$F$13=5,RuiRo!$G$13=2),RuiRo!$A$13&amp;" ","")&amp;IF(AND(RuiRo!$F$14=5,RuiRo!$G$14=2),RuiRo!$A$14&amp;" ","")&amp;IF(AND(RuiRo!$F$15=5,RuiRo!$G$15=2),RuiRo!$A$15&amp;" ","")&amp;IF(AND(RuiRo!$F$16=5,RuiRo!$G$16=2),RuiRo!$A$16&amp;" ",""))</f>
        <v/>
      </c>
      <c r="E5" s="62">
        <f>TRIM(IF(AND(RuiRo!$F$5=5,RuiRo!$G$5=3),RuiRo!$A$5&amp;" ","")&amp;IF(AND(RuiRo!$F$6=5,RuiRo!$G$6=3),RuiRo!$A$6&amp;" ","")&amp;IF(AND(RuiRo!$F$7=5,RuiRo!$G$7=3),RuiRo!$A$7&amp;" ","")&amp;IF(AND(RuiRo!$F$8=5,RuiRo!$G$8=3),RuiRo!$A$8&amp;" ","")&amp;IF(AND(RuiRo!$F$9=5,RuiRo!$G$9=3),RuiRo!$A$9&amp;" ","")&amp;IF(AND(RuiRo!$F$10=5,RuiRo!$G$10=3),RuiRo!$A$10&amp;" ","")&amp;IF(AND(RuiRo!$F$11=5,RuiRo!$G$11=3),RuiRo!$A$11&amp;" ","")&amp;IF(AND(RuiRo!$F$12=5,RuiRo!$G$12=3),RuiRo!$A$12&amp;" ","")&amp;IF(AND(RuiRo!$F$13=5,RuiRo!$G$13=3),RuiRo!$A$13&amp;" ","")&amp;IF(AND(RuiRo!$F$14=5,RuiRo!$G$14=3),RuiRo!$A$14&amp;" ","")&amp;IF(AND(RuiRo!$F$15=5,RuiRo!$G$15=3),RuiRo!$A$15&amp;" ","")&amp;IF(AND(RuiRo!$F$16=5,RuiRo!$G$16=3),RuiRo!$A$16&amp;" ",""))</f>
        <v/>
      </c>
      <c r="F5" s="62">
        <f>TRIM(IF(AND(RuiRo!$F$5=5,RuiRo!$G$5=4),RuiRo!$A$5&amp;" ","")&amp;IF(AND(RuiRo!$F$6=5,RuiRo!$G$6=4),RuiRo!$A$6&amp;" ","")&amp;IF(AND(RuiRo!$F$7=5,RuiRo!$G$7=4),RuiRo!$A$7&amp;" ","")&amp;IF(AND(RuiRo!$F$8=5,RuiRo!$G$8=4),RuiRo!$A$8&amp;" ","")&amp;IF(AND(RuiRo!$F$9=5,RuiRo!$G$9=4),RuiRo!$A$9&amp;" ","")&amp;IF(AND(RuiRo!$F$10=5,RuiRo!$G$10=4),RuiRo!$A$10&amp;" ","")&amp;IF(AND(RuiRo!$F$11=5,RuiRo!$G$11=4),RuiRo!$A$11&amp;" ","")&amp;IF(AND(RuiRo!$F$12=5,RuiRo!$G$12=4),RuiRo!$A$12&amp;" ","")&amp;IF(AND(RuiRo!$F$13=5,RuiRo!$G$13=4),RuiRo!$A$13&amp;" ","")&amp;IF(AND(RuiRo!$F$14=5,RuiRo!$G$14=4),RuiRo!$A$14&amp;" ","")&amp;IF(AND(RuiRo!$F$15=5,RuiRo!$G$15=4),RuiRo!$A$15&amp;" ","")&amp;IF(AND(RuiRo!$F$16=5,RuiRo!$G$16=4),RuiRo!$A$16&amp;" ",""))</f>
        <v/>
      </c>
      <c r="G5" s="62">
        <f>TRIM(IF(AND(RuiRo!$F$5=5,RuiRo!$G$5=5),RuiRo!$A$5&amp;" ","")&amp;IF(AND(RuiRo!$F$6=5,RuiRo!$G$6=5),RuiRo!$A$6&amp;" ","")&amp;IF(AND(RuiRo!$F$7=5,RuiRo!$G$7=5),RuiRo!$A$7&amp;" ","")&amp;IF(AND(RuiRo!$F$8=5,RuiRo!$G$8=5),RuiRo!$A$8&amp;" ","")&amp;IF(AND(RuiRo!$F$9=5,RuiRo!$G$9=5),RuiRo!$A$9&amp;" ","")&amp;IF(AND(RuiRo!$F$10=5,RuiRo!$G$10=5),RuiRo!$A$10&amp;" ","")&amp;IF(AND(RuiRo!$F$11=5,RuiRo!$G$11=5),RuiRo!$A$11&amp;" ","")&amp;IF(AND(RuiRo!$F$12=5,RuiRo!$G$12=5),RuiRo!$A$12&amp;" ","")&amp;IF(AND(RuiRo!$F$13=5,RuiRo!$G$13=5),RuiRo!$A$13&amp;" ","")&amp;IF(AND(RuiRo!$F$14=5,RuiRo!$G$14=5),RuiRo!$A$14&amp;" ","")&amp;IF(AND(RuiRo!$F$15=5,RuiRo!$G$15=5),RuiRo!$A$15&amp;" ","")&amp;IF(AND(RuiRo!$F$16=5,RuiRo!$G$16=5),RuiRo!$A$16&amp;" ",""))</f>
        <v/>
      </c>
    </row>
    <row r="6" ht="42" customHeight="1">
      <c r="B6" s="7" t="n">
        <v>4</v>
      </c>
      <c r="C6" s="60">
        <f>TRIM(IF(AND(RuiRo!$F$5=4,RuiRo!$G$5=1),RuiRo!$A$5&amp;" ","")&amp;IF(AND(RuiRo!$F$6=4,RuiRo!$G$6=1),RuiRo!$A$6&amp;" ","")&amp;IF(AND(RuiRo!$F$7=4,RuiRo!$G$7=1),RuiRo!$A$7&amp;" ","")&amp;IF(AND(RuiRo!$F$8=4,RuiRo!$G$8=1),RuiRo!$A$8&amp;" ","")&amp;IF(AND(RuiRo!$F$9=4,RuiRo!$G$9=1),RuiRo!$A$9&amp;" ","")&amp;IF(AND(RuiRo!$F$10=4,RuiRo!$G$10=1),RuiRo!$A$10&amp;" ","")&amp;IF(AND(RuiRo!$F$11=4,RuiRo!$G$11=1),RuiRo!$A$11&amp;" ","")&amp;IF(AND(RuiRo!$F$12=4,RuiRo!$G$12=1),RuiRo!$A$12&amp;" ","")&amp;IF(AND(RuiRo!$F$13=4,RuiRo!$G$13=1),RuiRo!$A$13&amp;" ","")&amp;IF(AND(RuiRo!$F$14=4,RuiRo!$G$14=1),RuiRo!$A$14&amp;" ","")&amp;IF(AND(RuiRo!$F$15=4,RuiRo!$G$15=1),RuiRo!$A$15&amp;" ","")&amp;IF(AND(RuiRo!$F$16=4,RuiRo!$G$16=1),RuiRo!$A$16&amp;" ",""))</f>
        <v/>
      </c>
      <c r="D6" s="61">
        <f>TRIM(IF(AND(RuiRo!$F$5=4,RuiRo!$G$5=2),RuiRo!$A$5&amp;" ","")&amp;IF(AND(RuiRo!$F$6=4,RuiRo!$G$6=2),RuiRo!$A$6&amp;" ","")&amp;IF(AND(RuiRo!$F$7=4,RuiRo!$G$7=2),RuiRo!$A$7&amp;" ","")&amp;IF(AND(RuiRo!$F$8=4,RuiRo!$G$8=2),RuiRo!$A$8&amp;" ","")&amp;IF(AND(RuiRo!$F$9=4,RuiRo!$G$9=2),RuiRo!$A$9&amp;" ","")&amp;IF(AND(RuiRo!$F$10=4,RuiRo!$G$10=2),RuiRo!$A$10&amp;" ","")&amp;IF(AND(RuiRo!$F$11=4,RuiRo!$G$11=2),RuiRo!$A$11&amp;" ","")&amp;IF(AND(RuiRo!$F$12=4,RuiRo!$G$12=2),RuiRo!$A$12&amp;" ","")&amp;IF(AND(RuiRo!$F$13=4,RuiRo!$G$13=2),RuiRo!$A$13&amp;" ","")&amp;IF(AND(RuiRo!$F$14=4,RuiRo!$G$14=2),RuiRo!$A$14&amp;" ","")&amp;IF(AND(RuiRo!$F$15=4,RuiRo!$G$15=2),RuiRo!$A$15&amp;" ","")&amp;IF(AND(RuiRo!$F$16=4,RuiRo!$G$16=2),RuiRo!$A$16&amp;" ",""))</f>
        <v/>
      </c>
      <c r="E6" s="61">
        <f>TRIM(IF(AND(RuiRo!$F$5=4,RuiRo!$G$5=3),RuiRo!$A$5&amp;" ","")&amp;IF(AND(RuiRo!$F$6=4,RuiRo!$G$6=3),RuiRo!$A$6&amp;" ","")&amp;IF(AND(RuiRo!$F$7=4,RuiRo!$G$7=3),RuiRo!$A$7&amp;" ","")&amp;IF(AND(RuiRo!$F$8=4,RuiRo!$G$8=3),RuiRo!$A$8&amp;" ","")&amp;IF(AND(RuiRo!$F$9=4,RuiRo!$G$9=3),RuiRo!$A$9&amp;" ","")&amp;IF(AND(RuiRo!$F$10=4,RuiRo!$G$10=3),RuiRo!$A$10&amp;" ","")&amp;IF(AND(RuiRo!$F$11=4,RuiRo!$G$11=3),RuiRo!$A$11&amp;" ","")&amp;IF(AND(RuiRo!$F$12=4,RuiRo!$G$12=3),RuiRo!$A$12&amp;" ","")&amp;IF(AND(RuiRo!$F$13=4,RuiRo!$G$13=3),RuiRo!$A$13&amp;" ","")&amp;IF(AND(RuiRo!$F$14=4,RuiRo!$G$14=3),RuiRo!$A$14&amp;" ","")&amp;IF(AND(RuiRo!$F$15=4,RuiRo!$G$15=3),RuiRo!$A$15&amp;" ","")&amp;IF(AND(RuiRo!$F$16=4,RuiRo!$G$16=3),RuiRo!$A$16&amp;" ",""))</f>
        <v/>
      </c>
      <c r="F6" s="62">
        <f>TRIM(IF(AND(RuiRo!$F$5=4,RuiRo!$G$5=4),RuiRo!$A$5&amp;" ","")&amp;IF(AND(RuiRo!$F$6=4,RuiRo!$G$6=4),RuiRo!$A$6&amp;" ","")&amp;IF(AND(RuiRo!$F$7=4,RuiRo!$G$7=4),RuiRo!$A$7&amp;" ","")&amp;IF(AND(RuiRo!$F$8=4,RuiRo!$G$8=4),RuiRo!$A$8&amp;" ","")&amp;IF(AND(RuiRo!$F$9=4,RuiRo!$G$9=4),RuiRo!$A$9&amp;" ","")&amp;IF(AND(RuiRo!$F$10=4,RuiRo!$G$10=4),RuiRo!$A$10&amp;" ","")&amp;IF(AND(RuiRo!$F$11=4,RuiRo!$G$11=4),RuiRo!$A$11&amp;" ","")&amp;IF(AND(RuiRo!$F$12=4,RuiRo!$G$12=4),RuiRo!$A$12&amp;" ","")&amp;IF(AND(RuiRo!$F$13=4,RuiRo!$G$13=4),RuiRo!$A$13&amp;" ","")&amp;IF(AND(RuiRo!$F$14=4,RuiRo!$G$14=4),RuiRo!$A$14&amp;" ","")&amp;IF(AND(RuiRo!$F$15=4,RuiRo!$G$15=4),RuiRo!$A$15&amp;" ","")&amp;IF(AND(RuiRo!$F$16=4,RuiRo!$G$16=4),RuiRo!$A$16&amp;" ",""))</f>
        <v/>
      </c>
      <c r="G6" s="62">
        <f>TRIM(IF(AND(RuiRo!$F$5=4,RuiRo!$G$5=5),RuiRo!$A$5&amp;" ","")&amp;IF(AND(RuiRo!$F$6=4,RuiRo!$G$6=5),RuiRo!$A$6&amp;" ","")&amp;IF(AND(RuiRo!$F$7=4,RuiRo!$G$7=5),RuiRo!$A$7&amp;" ","")&amp;IF(AND(RuiRo!$F$8=4,RuiRo!$G$8=5),RuiRo!$A$8&amp;" ","")&amp;IF(AND(RuiRo!$F$9=4,RuiRo!$G$9=5),RuiRo!$A$9&amp;" ","")&amp;IF(AND(RuiRo!$F$10=4,RuiRo!$G$10=5),RuiRo!$A$10&amp;" ","")&amp;IF(AND(RuiRo!$F$11=4,RuiRo!$G$11=5),RuiRo!$A$11&amp;" ","")&amp;IF(AND(RuiRo!$F$12=4,RuiRo!$G$12=5),RuiRo!$A$12&amp;" ","")&amp;IF(AND(RuiRo!$F$13=4,RuiRo!$G$13=5),RuiRo!$A$13&amp;" ","")&amp;IF(AND(RuiRo!$F$14=4,RuiRo!$G$14=5),RuiRo!$A$14&amp;" ","")&amp;IF(AND(RuiRo!$F$15=4,RuiRo!$G$15=5),RuiRo!$A$15&amp;" ","")&amp;IF(AND(RuiRo!$F$16=4,RuiRo!$G$16=5),RuiRo!$A$16&amp;" ",""))</f>
        <v/>
      </c>
    </row>
    <row r="7" ht="42" customHeight="1">
      <c r="B7" s="7" t="n">
        <v>3</v>
      </c>
      <c r="C7" s="60">
        <f>TRIM(IF(AND(RuiRo!$F$5=3,RuiRo!$G$5=1),RuiRo!$A$5&amp;" ","")&amp;IF(AND(RuiRo!$F$6=3,RuiRo!$G$6=1),RuiRo!$A$6&amp;" ","")&amp;IF(AND(RuiRo!$F$7=3,RuiRo!$G$7=1),RuiRo!$A$7&amp;" ","")&amp;IF(AND(RuiRo!$F$8=3,RuiRo!$G$8=1),RuiRo!$A$8&amp;" ","")&amp;IF(AND(RuiRo!$F$9=3,RuiRo!$G$9=1),RuiRo!$A$9&amp;" ","")&amp;IF(AND(RuiRo!$F$10=3,RuiRo!$G$10=1),RuiRo!$A$10&amp;" ","")&amp;IF(AND(RuiRo!$F$11=3,RuiRo!$G$11=1),RuiRo!$A$11&amp;" ","")&amp;IF(AND(RuiRo!$F$12=3,RuiRo!$G$12=1),RuiRo!$A$12&amp;" ","")&amp;IF(AND(RuiRo!$F$13=3,RuiRo!$G$13=1),RuiRo!$A$13&amp;" ","")&amp;IF(AND(RuiRo!$F$14=3,RuiRo!$G$14=1),RuiRo!$A$14&amp;" ","")&amp;IF(AND(RuiRo!$F$15=3,RuiRo!$G$15=1),RuiRo!$A$15&amp;" ","")&amp;IF(AND(RuiRo!$F$16=3,RuiRo!$G$16=1),RuiRo!$A$16&amp;" ",""))</f>
        <v/>
      </c>
      <c r="D7" s="60">
        <f>TRIM(IF(AND(RuiRo!$F$5=3,RuiRo!$G$5=2),RuiRo!$A$5&amp;" ","")&amp;IF(AND(RuiRo!$F$6=3,RuiRo!$G$6=2),RuiRo!$A$6&amp;" ","")&amp;IF(AND(RuiRo!$F$7=3,RuiRo!$G$7=2),RuiRo!$A$7&amp;" ","")&amp;IF(AND(RuiRo!$F$8=3,RuiRo!$G$8=2),RuiRo!$A$8&amp;" ","")&amp;IF(AND(RuiRo!$F$9=3,RuiRo!$G$9=2),RuiRo!$A$9&amp;" ","")&amp;IF(AND(RuiRo!$F$10=3,RuiRo!$G$10=2),RuiRo!$A$10&amp;" ","")&amp;IF(AND(RuiRo!$F$11=3,RuiRo!$G$11=2),RuiRo!$A$11&amp;" ","")&amp;IF(AND(RuiRo!$F$12=3,RuiRo!$G$12=2),RuiRo!$A$12&amp;" ","")&amp;IF(AND(RuiRo!$F$13=3,RuiRo!$G$13=2),RuiRo!$A$13&amp;" ","")&amp;IF(AND(RuiRo!$F$14=3,RuiRo!$G$14=2),RuiRo!$A$14&amp;" ","")&amp;IF(AND(RuiRo!$F$15=3,RuiRo!$G$15=2),RuiRo!$A$15&amp;" ","")&amp;IF(AND(RuiRo!$F$16=3,RuiRo!$G$16=2),RuiRo!$A$16&amp;" ",""))</f>
        <v/>
      </c>
      <c r="E7" s="61">
        <f>TRIM(IF(AND(RuiRo!$F$5=3,RuiRo!$G$5=3),RuiRo!$A$5&amp;" ","")&amp;IF(AND(RuiRo!$F$6=3,RuiRo!$G$6=3),RuiRo!$A$6&amp;" ","")&amp;IF(AND(RuiRo!$F$7=3,RuiRo!$G$7=3),RuiRo!$A$7&amp;" ","")&amp;IF(AND(RuiRo!$F$8=3,RuiRo!$G$8=3),RuiRo!$A$8&amp;" ","")&amp;IF(AND(RuiRo!$F$9=3,RuiRo!$G$9=3),RuiRo!$A$9&amp;" ","")&amp;IF(AND(RuiRo!$F$10=3,RuiRo!$G$10=3),RuiRo!$A$10&amp;" ","")&amp;IF(AND(RuiRo!$F$11=3,RuiRo!$G$11=3),RuiRo!$A$11&amp;" ","")&amp;IF(AND(RuiRo!$F$12=3,RuiRo!$G$12=3),RuiRo!$A$12&amp;" ","")&amp;IF(AND(RuiRo!$F$13=3,RuiRo!$G$13=3),RuiRo!$A$13&amp;" ","")&amp;IF(AND(RuiRo!$F$14=3,RuiRo!$G$14=3),RuiRo!$A$14&amp;" ","")&amp;IF(AND(RuiRo!$F$15=3,RuiRo!$G$15=3),RuiRo!$A$15&amp;" ","")&amp;IF(AND(RuiRo!$F$16=3,RuiRo!$G$16=3),RuiRo!$A$16&amp;" ",""))</f>
        <v/>
      </c>
      <c r="F7" s="61">
        <f>TRIM(IF(AND(RuiRo!$F$5=3,RuiRo!$G$5=4),RuiRo!$A$5&amp;" ","")&amp;IF(AND(RuiRo!$F$6=3,RuiRo!$G$6=4),RuiRo!$A$6&amp;" ","")&amp;IF(AND(RuiRo!$F$7=3,RuiRo!$G$7=4),RuiRo!$A$7&amp;" ","")&amp;IF(AND(RuiRo!$F$8=3,RuiRo!$G$8=4),RuiRo!$A$8&amp;" ","")&amp;IF(AND(RuiRo!$F$9=3,RuiRo!$G$9=4),RuiRo!$A$9&amp;" ","")&amp;IF(AND(RuiRo!$F$10=3,RuiRo!$G$10=4),RuiRo!$A$10&amp;" ","")&amp;IF(AND(RuiRo!$F$11=3,RuiRo!$G$11=4),RuiRo!$A$11&amp;" ","")&amp;IF(AND(RuiRo!$F$12=3,RuiRo!$G$12=4),RuiRo!$A$12&amp;" ","")&amp;IF(AND(RuiRo!$F$13=3,RuiRo!$G$13=4),RuiRo!$A$13&amp;" ","")&amp;IF(AND(RuiRo!$F$14=3,RuiRo!$G$14=4),RuiRo!$A$14&amp;" ","")&amp;IF(AND(RuiRo!$F$15=3,RuiRo!$G$15=4),RuiRo!$A$15&amp;" ","")&amp;IF(AND(RuiRo!$F$16=3,RuiRo!$G$16=4),RuiRo!$A$16&amp;" ",""))</f>
        <v/>
      </c>
      <c r="G7" s="62">
        <f>TRIM(IF(AND(RuiRo!$F$5=3,RuiRo!$G$5=5),RuiRo!$A$5&amp;" ","")&amp;IF(AND(RuiRo!$F$6=3,RuiRo!$G$6=5),RuiRo!$A$6&amp;" ","")&amp;IF(AND(RuiRo!$F$7=3,RuiRo!$G$7=5),RuiRo!$A$7&amp;" ","")&amp;IF(AND(RuiRo!$F$8=3,RuiRo!$G$8=5),RuiRo!$A$8&amp;" ","")&amp;IF(AND(RuiRo!$F$9=3,RuiRo!$G$9=5),RuiRo!$A$9&amp;" ","")&amp;IF(AND(RuiRo!$F$10=3,RuiRo!$G$10=5),RuiRo!$A$10&amp;" ","")&amp;IF(AND(RuiRo!$F$11=3,RuiRo!$G$11=5),RuiRo!$A$11&amp;" ","")&amp;IF(AND(RuiRo!$F$12=3,RuiRo!$G$12=5),RuiRo!$A$12&amp;" ","")&amp;IF(AND(RuiRo!$F$13=3,RuiRo!$G$13=5),RuiRo!$A$13&amp;" ","")&amp;IF(AND(RuiRo!$F$14=3,RuiRo!$G$14=5),RuiRo!$A$14&amp;" ","")&amp;IF(AND(RuiRo!$F$15=3,RuiRo!$G$15=5),RuiRo!$A$15&amp;" ","")&amp;IF(AND(RuiRo!$F$16=3,RuiRo!$G$16=5),RuiRo!$A$16&amp;" ",""))</f>
        <v/>
      </c>
    </row>
    <row r="8" ht="42" customHeight="1">
      <c r="B8" s="7" t="n">
        <v>2</v>
      </c>
      <c r="C8" s="60">
        <f>TRIM(IF(AND(RuiRo!$F$5=2,RuiRo!$G$5=1),RuiRo!$A$5&amp;" ","")&amp;IF(AND(RuiRo!$F$6=2,RuiRo!$G$6=1),RuiRo!$A$6&amp;" ","")&amp;IF(AND(RuiRo!$F$7=2,RuiRo!$G$7=1),RuiRo!$A$7&amp;" ","")&amp;IF(AND(RuiRo!$F$8=2,RuiRo!$G$8=1),RuiRo!$A$8&amp;" ","")&amp;IF(AND(RuiRo!$F$9=2,RuiRo!$G$9=1),RuiRo!$A$9&amp;" ","")&amp;IF(AND(RuiRo!$F$10=2,RuiRo!$G$10=1),RuiRo!$A$10&amp;" ","")&amp;IF(AND(RuiRo!$F$11=2,RuiRo!$G$11=1),RuiRo!$A$11&amp;" ","")&amp;IF(AND(RuiRo!$F$12=2,RuiRo!$G$12=1),RuiRo!$A$12&amp;" ","")&amp;IF(AND(RuiRo!$F$13=2,RuiRo!$G$13=1),RuiRo!$A$13&amp;" ","")&amp;IF(AND(RuiRo!$F$14=2,RuiRo!$G$14=1),RuiRo!$A$14&amp;" ","")&amp;IF(AND(RuiRo!$F$15=2,RuiRo!$G$15=1),RuiRo!$A$15&amp;" ","")&amp;IF(AND(RuiRo!$F$16=2,RuiRo!$G$16=1),RuiRo!$A$16&amp;" ",""))</f>
        <v/>
      </c>
      <c r="D8" s="60">
        <f>TRIM(IF(AND(RuiRo!$F$5=2,RuiRo!$G$5=2),RuiRo!$A$5&amp;" ","")&amp;IF(AND(RuiRo!$F$6=2,RuiRo!$G$6=2),RuiRo!$A$6&amp;" ","")&amp;IF(AND(RuiRo!$F$7=2,RuiRo!$G$7=2),RuiRo!$A$7&amp;" ","")&amp;IF(AND(RuiRo!$F$8=2,RuiRo!$G$8=2),RuiRo!$A$8&amp;" ","")&amp;IF(AND(RuiRo!$F$9=2,RuiRo!$G$9=2),RuiRo!$A$9&amp;" ","")&amp;IF(AND(RuiRo!$F$10=2,RuiRo!$G$10=2),RuiRo!$A$10&amp;" ","")&amp;IF(AND(RuiRo!$F$11=2,RuiRo!$G$11=2),RuiRo!$A$11&amp;" ","")&amp;IF(AND(RuiRo!$F$12=2,RuiRo!$G$12=2),RuiRo!$A$12&amp;" ","")&amp;IF(AND(RuiRo!$F$13=2,RuiRo!$G$13=2),RuiRo!$A$13&amp;" ","")&amp;IF(AND(RuiRo!$F$14=2,RuiRo!$G$14=2),RuiRo!$A$14&amp;" ","")&amp;IF(AND(RuiRo!$F$15=2,RuiRo!$G$15=2),RuiRo!$A$15&amp;" ","")&amp;IF(AND(RuiRo!$F$16=2,RuiRo!$G$16=2),RuiRo!$A$16&amp;" ",""))</f>
        <v/>
      </c>
      <c r="E8" s="60">
        <f>TRIM(IF(AND(RuiRo!$F$5=2,RuiRo!$G$5=3),RuiRo!$A$5&amp;" ","")&amp;IF(AND(RuiRo!$F$6=2,RuiRo!$G$6=3),RuiRo!$A$6&amp;" ","")&amp;IF(AND(RuiRo!$F$7=2,RuiRo!$G$7=3),RuiRo!$A$7&amp;" ","")&amp;IF(AND(RuiRo!$F$8=2,RuiRo!$G$8=3),RuiRo!$A$8&amp;" ","")&amp;IF(AND(RuiRo!$F$9=2,RuiRo!$G$9=3),RuiRo!$A$9&amp;" ","")&amp;IF(AND(RuiRo!$F$10=2,RuiRo!$G$10=3),RuiRo!$A$10&amp;" ","")&amp;IF(AND(RuiRo!$F$11=2,RuiRo!$G$11=3),RuiRo!$A$11&amp;" ","")&amp;IF(AND(RuiRo!$F$12=2,RuiRo!$G$12=3),RuiRo!$A$12&amp;" ","")&amp;IF(AND(RuiRo!$F$13=2,RuiRo!$G$13=3),RuiRo!$A$13&amp;" ","")&amp;IF(AND(RuiRo!$F$14=2,RuiRo!$G$14=3),RuiRo!$A$14&amp;" ","")&amp;IF(AND(RuiRo!$F$15=2,RuiRo!$G$15=3),RuiRo!$A$15&amp;" ","")&amp;IF(AND(RuiRo!$F$16=2,RuiRo!$G$16=3),RuiRo!$A$16&amp;" ",""))</f>
        <v/>
      </c>
      <c r="F8" s="61">
        <f>TRIM(IF(AND(RuiRo!$F$5=2,RuiRo!$G$5=4),RuiRo!$A$5&amp;" ","")&amp;IF(AND(RuiRo!$F$6=2,RuiRo!$G$6=4),RuiRo!$A$6&amp;" ","")&amp;IF(AND(RuiRo!$F$7=2,RuiRo!$G$7=4),RuiRo!$A$7&amp;" ","")&amp;IF(AND(RuiRo!$F$8=2,RuiRo!$G$8=4),RuiRo!$A$8&amp;" ","")&amp;IF(AND(RuiRo!$F$9=2,RuiRo!$G$9=4),RuiRo!$A$9&amp;" ","")&amp;IF(AND(RuiRo!$F$10=2,RuiRo!$G$10=4),RuiRo!$A$10&amp;" ","")&amp;IF(AND(RuiRo!$F$11=2,RuiRo!$G$11=4),RuiRo!$A$11&amp;" ","")&amp;IF(AND(RuiRo!$F$12=2,RuiRo!$G$12=4),RuiRo!$A$12&amp;" ","")&amp;IF(AND(RuiRo!$F$13=2,RuiRo!$G$13=4),RuiRo!$A$13&amp;" ","")&amp;IF(AND(RuiRo!$F$14=2,RuiRo!$G$14=4),RuiRo!$A$14&amp;" ","")&amp;IF(AND(RuiRo!$F$15=2,RuiRo!$G$15=4),RuiRo!$A$15&amp;" ","")&amp;IF(AND(RuiRo!$F$16=2,RuiRo!$G$16=4),RuiRo!$A$16&amp;" ",""))</f>
        <v/>
      </c>
      <c r="G8" s="61">
        <f>TRIM(IF(AND(RuiRo!$F$5=2,RuiRo!$G$5=5),RuiRo!$A$5&amp;" ","")&amp;IF(AND(RuiRo!$F$6=2,RuiRo!$G$6=5),RuiRo!$A$6&amp;" ","")&amp;IF(AND(RuiRo!$F$7=2,RuiRo!$G$7=5),RuiRo!$A$7&amp;" ","")&amp;IF(AND(RuiRo!$F$8=2,RuiRo!$G$8=5),RuiRo!$A$8&amp;" ","")&amp;IF(AND(RuiRo!$F$9=2,RuiRo!$G$9=5),RuiRo!$A$9&amp;" ","")&amp;IF(AND(RuiRo!$F$10=2,RuiRo!$G$10=5),RuiRo!$A$10&amp;" ","")&amp;IF(AND(RuiRo!$F$11=2,RuiRo!$G$11=5),RuiRo!$A$11&amp;" ","")&amp;IF(AND(RuiRo!$F$12=2,RuiRo!$G$12=5),RuiRo!$A$12&amp;" ","")&amp;IF(AND(RuiRo!$F$13=2,RuiRo!$G$13=5),RuiRo!$A$13&amp;" ","")&amp;IF(AND(RuiRo!$F$14=2,RuiRo!$G$14=5),RuiRo!$A$14&amp;" ","")&amp;IF(AND(RuiRo!$F$15=2,RuiRo!$G$15=5),RuiRo!$A$15&amp;" ","")&amp;IF(AND(RuiRo!$F$16=2,RuiRo!$G$16=5),RuiRo!$A$16&amp;" ",""))</f>
        <v/>
      </c>
    </row>
    <row r="9" ht="42" customHeight="1">
      <c r="B9" s="7" t="n">
        <v>1</v>
      </c>
      <c r="C9" s="60">
        <f>TRIM(IF(AND(RuiRo!$F$5=1,RuiRo!$G$5=1),RuiRo!$A$5&amp;" ","")&amp;IF(AND(RuiRo!$F$6=1,RuiRo!$G$6=1),RuiRo!$A$6&amp;" ","")&amp;IF(AND(RuiRo!$F$7=1,RuiRo!$G$7=1),RuiRo!$A$7&amp;" ","")&amp;IF(AND(RuiRo!$F$8=1,RuiRo!$G$8=1),RuiRo!$A$8&amp;" ","")&amp;IF(AND(RuiRo!$F$9=1,RuiRo!$G$9=1),RuiRo!$A$9&amp;" ","")&amp;IF(AND(RuiRo!$F$10=1,RuiRo!$G$10=1),RuiRo!$A$10&amp;" ","")&amp;IF(AND(RuiRo!$F$11=1,RuiRo!$G$11=1),RuiRo!$A$11&amp;" ","")&amp;IF(AND(RuiRo!$F$12=1,RuiRo!$G$12=1),RuiRo!$A$12&amp;" ","")&amp;IF(AND(RuiRo!$F$13=1,RuiRo!$G$13=1),RuiRo!$A$13&amp;" ","")&amp;IF(AND(RuiRo!$F$14=1,RuiRo!$G$14=1),RuiRo!$A$14&amp;" ","")&amp;IF(AND(RuiRo!$F$15=1,RuiRo!$G$15=1),RuiRo!$A$15&amp;" ","")&amp;IF(AND(RuiRo!$F$16=1,RuiRo!$G$16=1),RuiRo!$A$16&amp;" ",""))</f>
        <v/>
      </c>
      <c r="D9" s="60">
        <f>TRIM(IF(AND(RuiRo!$F$5=1,RuiRo!$G$5=2),RuiRo!$A$5&amp;" ","")&amp;IF(AND(RuiRo!$F$6=1,RuiRo!$G$6=2),RuiRo!$A$6&amp;" ","")&amp;IF(AND(RuiRo!$F$7=1,RuiRo!$G$7=2),RuiRo!$A$7&amp;" ","")&amp;IF(AND(RuiRo!$F$8=1,RuiRo!$G$8=2),RuiRo!$A$8&amp;" ","")&amp;IF(AND(RuiRo!$F$9=1,RuiRo!$G$9=2),RuiRo!$A$9&amp;" ","")&amp;IF(AND(RuiRo!$F$10=1,RuiRo!$G$10=2),RuiRo!$A$10&amp;" ","")&amp;IF(AND(RuiRo!$F$11=1,RuiRo!$G$11=2),RuiRo!$A$11&amp;" ","")&amp;IF(AND(RuiRo!$F$12=1,RuiRo!$G$12=2),RuiRo!$A$12&amp;" ","")&amp;IF(AND(RuiRo!$F$13=1,RuiRo!$G$13=2),RuiRo!$A$13&amp;" ","")&amp;IF(AND(RuiRo!$F$14=1,RuiRo!$G$14=2),RuiRo!$A$14&amp;" ","")&amp;IF(AND(RuiRo!$F$15=1,RuiRo!$G$15=2),RuiRo!$A$15&amp;" ","")&amp;IF(AND(RuiRo!$F$16=1,RuiRo!$G$16=2),RuiRo!$A$16&amp;" ",""))</f>
        <v/>
      </c>
      <c r="E9" s="60">
        <f>TRIM(IF(AND(RuiRo!$F$5=1,RuiRo!$G$5=3),RuiRo!$A$5&amp;" ","")&amp;IF(AND(RuiRo!$F$6=1,RuiRo!$G$6=3),RuiRo!$A$6&amp;" ","")&amp;IF(AND(RuiRo!$F$7=1,RuiRo!$G$7=3),RuiRo!$A$7&amp;" ","")&amp;IF(AND(RuiRo!$F$8=1,RuiRo!$G$8=3),RuiRo!$A$8&amp;" ","")&amp;IF(AND(RuiRo!$F$9=1,RuiRo!$G$9=3),RuiRo!$A$9&amp;" ","")&amp;IF(AND(RuiRo!$F$10=1,RuiRo!$G$10=3),RuiRo!$A$10&amp;" ","")&amp;IF(AND(RuiRo!$F$11=1,RuiRo!$G$11=3),RuiRo!$A$11&amp;" ","")&amp;IF(AND(RuiRo!$F$12=1,RuiRo!$G$12=3),RuiRo!$A$12&amp;" ","")&amp;IF(AND(RuiRo!$F$13=1,RuiRo!$G$13=3),RuiRo!$A$13&amp;" ","")&amp;IF(AND(RuiRo!$F$14=1,RuiRo!$G$14=3),RuiRo!$A$14&amp;" ","")&amp;IF(AND(RuiRo!$F$15=1,RuiRo!$G$15=3),RuiRo!$A$15&amp;" ","")&amp;IF(AND(RuiRo!$F$16=1,RuiRo!$G$16=3),RuiRo!$A$16&amp;" ",""))</f>
        <v/>
      </c>
      <c r="F9" s="60">
        <f>TRIM(IF(AND(RuiRo!$F$5=1,RuiRo!$G$5=4),RuiRo!$A$5&amp;" ","")&amp;IF(AND(RuiRo!$F$6=1,RuiRo!$G$6=4),RuiRo!$A$6&amp;" ","")&amp;IF(AND(RuiRo!$F$7=1,RuiRo!$G$7=4),RuiRo!$A$7&amp;" ","")&amp;IF(AND(RuiRo!$F$8=1,RuiRo!$G$8=4),RuiRo!$A$8&amp;" ","")&amp;IF(AND(RuiRo!$F$9=1,RuiRo!$G$9=4),RuiRo!$A$9&amp;" ","")&amp;IF(AND(RuiRo!$F$10=1,RuiRo!$G$10=4),RuiRo!$A$10&amp;" ","")&amp;IF(AND(RuiRo!$F$11=1,RuiRo!$G$11=4),RuiRo!$A$11&amp;" ","")&amp;IF(AND(RuiRo!$F$12=1,RuiRo!$G$12=4),RuiRo!$A$12&amp;" ","")&amp;IF(AND(RuiRo!$F$13=1,RuiRo!$G$13=4),RuiRo!$A$13&amp;" ","")&amp;IF(AND(RuiRo!$F$14=1,RuiRo!$G$14=4),RuiRo!$A$14&amp;" ","")&amp;IF(AND(RuiRo!$F$15=1,RuiRo!$G$15=4),RuiRo!$A$15&amp;" ","")&amp;IF(AND(RuiRo!$F$16=1,RuiRo!$G$16=4),RuiRo!$A$16&amp;" ",""))</f>
        <v/>
      </c>
      <c r="G9" s="60">
        <f>TRIM(IF(AND(RuiRo!$F$5=1,RuiRo!$G$5=5),RuiRo!$A$5&amp;" ","")&amp;IF(AND(RuiRo!$F$6=1,RuiRo!$G$6=5),RuiRo!$A$6&amp;" ","")&amp;IF(AND(RuiRo!$F$7=1,RuiRo!$G$7=5),RuiRo!$A$7&amp;" ","")&amp;IF(AND(RuiRo!$F$8=1,RuiRo!$G$8=5),RuiRo!$A$8&amp;" ","")&amp;IF(AND(RuiRo!$F$9=1,RuiRo!$G$9=5),RuiRo!$A$9&amp;" ","")&amp;IF(AND(RuiRo!$F$10=1,RuiRo!$G$10=5),RuiRo!$A$10&amp;" ","")&amp;IF(AND(RuiRo!$F$11=1,RuiRo!$G$11=5),RuiRo!$A$11&amp;" ","")&amp;IF(AND(RuiRo!$F$12=1,RuiRo!$G$12=5),RuiRo!$A$12&amp;" ","")&amp;IF(AND(RuiRo!$F$13=1,RuiRo!$G$13=5),RuiRo!$A$13&amp;" ","")&amp;IF(AND(RuiRo!$F$14=1,RuiRo!$G$14=5),RuiRo!$A$14&amp;" ","")&amp;IF(AND(RuiRo!$F$15=1,RuiRo!$G$15=5),RuiRo!$A$15&amp;" ","")&amp;IF(AND(RuiRo!$F$16=1,RuiRo!$G$16=5),RuiRo!$A$16&amp;" ",""))</f>
        <v/>
      </c>
    </row>
    <row r="11">
      <c r="A11" s="2" t="inlineStr">
        <is>
          <t>Vùng đỏ: điểm ≥ 15 (Cao) · Cam: 8–14 (Trung bình) · Xanh: &lt; 8 (Thấp)</t>
        </is>
      </c>
    </row>
  </sheetData>
  <mergeCells count="1">
    <mergeCell ref="C3:G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2026-10-04T02:01:31Z</dcterms:created>
  <dcterms:modified xsi:type="dcterms:W3CDTF">2026-10-04T02:01:32Z</dcterms:modified>
</cp:coreProperties>
</file>